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rouabah\Desktop\code stage\"/>
    </mc:Choice>
  </mc:AlternateContent>
  <xr:revisionPtr revIDLastSave="0" documentId="13_ncr:1_{B770FFF3-840E-4347-844D-CD010772F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56" i="1"/>
  <c r="H56" i="1"/>
  <c r="I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2" i="1"/>
  <c r="G11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</calcChain>
</file>

<file path=xl/sharedStrings.xml><?xml version="1.0" encoding="utf-8"?>
<sst xmlns="http://schemas.openxmlformats.org/spreadsheetml/2006/main" count="9" uniqueCount="9">
  <si>
    <t>Laser Power (W)</t>
  </si>
  <si>
    <t>Laser Speed (mm/s)</t>
  </si>
  <si>
    <t>Hatch Spacing (µm)</t>
  </si>
  <si>
    <t>Layer thickness (µm)</t>
  </si>
  <si>
    <t>Surface roughness (um)</t>
  </si>
  <si>
    <t>Relative density (%)</t>
  </si>
  <si>
    <t>VED</t>
  </si>
  <si>
    <t>LED</t>
  </si>
  <si>
    <t>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</si>
</sst>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Normal 2" xfId="1" xr:uid="{DDA06DD4-31C0-429A-86B6-8166543FB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topLeftCell="A134" workbookViewId="0">
      <selection activeCell="O149" sqref="O149"/>
    </sheetView>
  </sheetViews>
  <sheetFormatPr baseColWidth="10" defaultColWidth="9.140625" defaultRowHeight="15" x14ac:dyDescent="0.25"/>
  <cols>
    <col min="1" max="16384" width="9.140625" style="3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 spans="1:11" x14ac:dyDescent="0.25">
      <c r="A2" s="7">
        <v>150</v>
      </c>
      <c r="B2" s="7">
        <v>400</v>
      </c>
      <c r="C2" s="7">
        <v>115</v>
      </c>
      <c r="D2" s="7">
        <v>25</v>
      </c>
      <c r="E2" s="7">
        <v>5.2</v>
      </c>
      <c r="F2" s="5">
        <v>99.63</v>
      </c>
      <c r="G2" s="5">
        <f t="shared" ref="G2:G41" si="0">1000000*A2/(B2*C2*D2)</f>
        <v>130.43478260869566</v>
      </c>
      <c r="H2" s="3">
        <f>A2/B2</f>
        <v>0.375</v>
      </c>
      <c r="I2" s="5">
        <f>1000*A2/(B2*C2)</f>
        <v>3.2608695652173911</v>
      </c>
      <c r="J2" s="5"/>
      <c r="K2" s="5"/>
    </row>
    <row r="3" spans="1:11" x14ac:dyDescent="0.25">
      <c r="A3" s="7">
        <v>150</v>
      </c>
      <c r="B3" s="7">
        <v>700</v>
      </c>
      <c r="C3" s="7">
        <v>115</v>
      </c>
      <c r="D3" s="7">
        <v>25</v>
      </c>
      <c r="E3" s="7">
        <v>7.9</v>
      </c>
      <c r="F3" s="5">
        <v>99.93</v>
      </c>
      <c r="G3" s="5">
        <f t="shared" si="0"/>
        <v>74.534161490683232</v>
      </c>
      <c r="H3" s="3">
        <f t="shared" ref="H3:H41" si="1">A3/B3</f>
        <v>0.21428571428571427</v>
      </c>
      <c r="I3" s="5">
        <f t="shared" ref="I3:I41" si="2">1000*A3/(B3*C3)</f>
        <v>1.8633540372670807</v>
      </c>
      <c r="J3" s="5"/>
      <c r="K3" s="5"/>
    </row>
    <row r="4" spans="1:11" x14ac:dyDescent="0.25">
      <c r="A4" s="7">
        <v>150</v>
      </c>
      <c r="B4" s="7">
        <v>1000</v>
      </c>
      <c r="C4" s="7">
        <v>115</v>
      </c>
      <c r="D4" s="7">
        <v>25</v>
      </c>
      <c r="E4" s="7">
        <v>11</v>
      </c>
      <c r="F4" s="5">
        <v>92.26</v>
      </c>
      <c r="G4" s="5">
        <f t="shared" si="0"/>
        <v>52.173913043478258</v>
      </c>
      <c r="H4" s="3">
        <f t="shared" si="1"/>
        <v>0.15</v>
      </c>
      <c r="I4" s="5">
        <f t="shared" si="2"/>
        <v>1.3043478260869565</v>
      </c>
      <c r="J4" s="5"/>
      <c r="K4" s="5"/>
    </row>
    <row r="5" spans="1:11" x14ac:dyDescent="0.25">
      <c r="A5" s="7">
        <v>180</v>
      </c>
      <c r="B5" s="7">
        <v>400</v>
      </c>
      <c r="C5" s="7">
        <v>115</v>
      </c>
      <c r="D5" s="7">
        <v>25</v>
      </c>
      <c r="E5" s="7">
        <v>5</v>
      </c>
      <c r="F5" s="5">
        <v>99.91</v>
      </c>
      <c r="G5" s="5">
        <f t="shared" si="0"/>
        <v>156.52173913043478</v>
      </c>
      <c r="H5" s="3">
        <f t="shared" si="1"/>
        <v>0.45</v>
      </c>
      <c r="I5" s="5">
        <f t="shared" si="2"/>
        <v>3.9130434782608696</v>
      </c>
      <c r="J5" s="5"/>
      <c r="K5" s="5"/>
    </row>
    <row r="6" spans="1:11" x14ac:dyDescent="0.25">
      <c r="A6" s="7">
        <v>180</v>
      </c>
      <c r="B6" s="7">
        <v>700</v>
      </c>
      <c r="C6" s="7">
        <v>115</v>
      </c>
      <c r="D6" s="7">
        <v>25</v>
      </c>
      <c r="E6" s="7">
        <v>7.3</v>
      </c>
      <c r="F6" s="5">
        <v>99.74</v>
      </c>
      <c r="G6" s="5">
        <f t="shared" si="0"/>
        <v>89.440993788819881</v>
      </c>
      <c r="H6" s="3">
        <f t="shared" si="1"/>
        <v>0.25714285714285712</v>
      </c>
      <c r="I6" s="5">
        <f t="shared" si="2"/>
        <v>2.2360248447204967</v>
      </c>
      <c r="J6" s="5"/>
      <c r="K6" s="5"/>
    </row>
    <row r="7" spans="1:11" x14ac:dyDescent="0.25">
      <c r="A7" s="7">
        <v>180</v>
      </c>
      <c r="B7" s="7">
        <v>1000</v>
      </c>
      <c r="C7" s="7">
        <v>115</v>
      </c>
      <c r="D7" s="7">
        <v>25</v>
      </c>
      <c r="E7" s="7">
        <v>9.6999999999999993</v>
      </c>
      <c r="F7" s="5">
        <v>98.43</v>
      </c>
      <c r="G7" s="5">
        <f t="shared" si="0"/>
        <v>62.608695652173914</v>
      </c>
      <c r="H7" s="3">
        <f t="shared" si="1"/>
        <v>0.18</v>
      </c>
      <c r="I7" s="5">
        <f t="shared" si="2"/>
        <v>1.5652173913043479</v>
      </c>
      <c r="J7" s="5"/>
      <c r="K7" s="5"/>
    </row>
    <row r="8" spans="1:11" x14ac:dyDescent="0.25">
      <c r="A8" s="7">
        <v>200</v>
      </c>
      <c r="B8" s="7">
        <v>400</v>
      </c>
      <c r="C8" s="7">
        <v>115</v>
      </c>
      <c r="D8" s="7">
        <v>25</v>
      </c>
      <c r="E8" s="7">
        <v>4.5999999999999996</v>
      </c>
      <c r="F8" s="5">
        <v>99.53</v>
      </c>
      <c r="G8" s="5">
        <f t="shared" si="0"/>
        <v>173.91304347826087</v>
      </c>
      <c r="H8" s="3">
        <f t="shared" si="1"/>
        <v>0.5</v>
      </c>
      <c r="I8" s="5">
        <f t="shared" si="2"/>
        <v>4.3478260869565215</v>
      </c>
      <c r="J8" s="5"/>
      <c r="K8" s="5"/>
    </row>
    <row r="9" spans="1:11" x14ac:dyDescent="0.25">
      <c r="A9" s="5">
        <v>200</v>
      </c>
      <c r="B9" s="5">
        <v>700</v>
      </c>
      <c r="C9" s="7">
        <v>115</v>
      </c>
      <c r="D9" s="7">
        <v>25</v>
      </c>
      <c r="E9" s="5">
        <v>6.3</v>
      </c>
      <c r="F9" s="5">
        <v>99.92</v>
      </c>
      <c r="G9" s="5">
        <f t="shared" si="0"/>
        <v>99.378881987577643</v>
      </c>
      <c r="H9" s="3">
        <f t="shared" si="1"/>
        <v>0.2857142857142857</v>
      </c>
      <c r="I9" s="5">
        <f t="shared" si="2"/>
        <v>2.4844720496894408</v>
      </c>
      <c r="J9" s="5"/>
      <c r="K9" s="5"/>
    </row>
    <row r="10" spans="1:11" x14ac:dyDescent="0.25">
      <c r="A10" s="5">
        <v>200</v>
      </c>
      <c r="B10" s="5">
        <v>1000</v>
      </c>
      <c r="C10" s="7">
        <v>115</v>
      </c>
      <c r="D10" s="7">
        <v>25</v>
      </c>
      <c r="E10" s="5">
        <v>8.5</v>
      </c>
      <c r="F10" s="5">
        <v>99.08</v>
      </c>
      <c r="G10" s="5">
        <f t="shared" si="0"/>
        <v>69.565217391304344</v>
      </c>
      <c r="H10" s="3">
        <f t="shared" si="1"/>
        <v>0.2</v>
      </c>
      <c r="I10" s="5">
        <f t="shared" si="2"/>
        <v>1.7391304347826086</v>
      </c>
      <c r="J10" s="5"/>
      <c r="K10" s="5"/>
    </row>
    <row r="11" spans="1:11" x14ac:dyDescent="0.25">
      <c r="A11" s="4">
        <v>180.4</v>
      </c>
      <c r="B11" s="4">
        <v>821.6</v>
      </c>
      <c r="C11" s="4">
        <v>72.2</v>
      </c>
      <c r="D11" s="4">
        <v>20</v>
      </c>
      <c r="E11" s="4">
        <v>11.57</v>
      </c>
      <c r="F11" s="4">
        <v>98.31</v>
      </c>
      <c r="G11" s="3">
        <f t="shared" si="0"/>
        <v>152.05787234960766</v>
      </c>
      <c r="H11" s="3">
        <f t="shared" si="1"/>
        <v>0.21957156767283351</v>
      </c>
      <c r="I11" s="5">
        <f t="shared" si="2"/>
        <v>3.0411574469921536</v>
      </c>
    </row>
    <row r="12" spans="1:11" x14ac:dyDescent="0.25">
      <c r="A12" s="4">
        <v>269.60000000000002</v>
      </c>
      <c r="B12" s="4">
        <v>821.6</v>
      </c>
      <c r="C12" s="4">
        <v>72.2</v>
      </c>
      <c r="D12" s="4">
        <v>20</v>
      </c>
      <c r="E12" s="4">
        <v>10.38</v>
      </c>
      <c r="F12" s="4">
        <v>98.62</v>
      </c>
      <c r="G12" s="3">
        <f t="shared" si="0"/>
        <v>227.24391566216312</v>
      </c>
      <c r="H12" s="3">
        <f t="shared" si="1"/>
        <v>0.32814021421616363</v>
      </c>
      <c r="I12" s="5">
        <f t="shared" si="2"/>
        <v>4.5448783132432622</v>
      </c>
    </row>
    <row r="13" spans="1:11" x14ac:dyDescent="0.25">
      <c r="A13" s="4">
        <v>180.4</v>
      </c>
      <c r="B13" s="4">
        <v>1178.4000000000001</v>
      </c>
      <c r="C13" s="4">
        <v>72.2</v>
      </c>
      <c r="D13" s="4">
        <v>20</v>
      </c>
      <c r="E13" s="4">
        <v>10.9</v>
      </c>
      <c r="F13" s="4">
        <v>98.25</v>
      </c>
      <c r="G13" s="3">
        <f t="shared" si="0"/>
        <v>106.01726741551057</v>
      </c>
      <c r="H13" s="3">
        <f t="shared" si="1"/>
        <v>0.15308893414799729</v>
      </c>
      <c r="I13" s="5">
        <f t="shared" si="2"/>
        <v>2.1203453483102113</v>
      </c>
    </row>
    <row r="14" spans="1:11" x14ac:dyDescent="0.25">
      <c r="A14" s="4">
        <v>269.60000000000002</v>
      </c>
      <c r="B14" s="4">
        <v>1178.4000000000001</v>
      </c>
      <c r="C14" s="4">
        <v>72.2</v>
      </c>
      <c r="D14" s="4">
        <v>20</v>
      </c>
      <c r="E14" s="4">
        <v>10.35</v>
      </c>
      <c r="F14" s="4">
        <v>98.63</v>
      </c>
      <c r="G14" s="3">
        <f t="shared" si="0"/>
        <v>158.43822225732623</v>
      </c>
      <c r="H14" s="3">
        <f t="shared" si="1"/>
        <v>0.2287847929395791</v>
      </c>
      <c r="I14" s="5">
        <f t="shared" si="2"/>
        <v>3.1687644451465244</v>
      </c>
    </row>
    <row r="15" spans="1:11" x14ac:dyDescent="0.25">
      <c r="A15" s="4">
        <v>180.4</v>
      </c>
      <c r="B15" s="4">
        <v>821.6</v>
      </c>
      <c r="C15" s="4">
        <v>107.8</v>
      </c>
      <c r="D15" s="4">
        <v>20</v>
      </c>
      <c r="E15" s="4">
        <v>10.25</v>
      </c>
      <c r="F15" s="4">
        <v>98.61</v>
      </c>
      <c r="G15" s="3">
        <f t="shared" si="0"/>
        <v>101.84210003378178</v>
      </c>
      <c r="H15" s="3">
        <f t="shared" si="1"/>
        <v>0.21957156767283351</v>
      </c>
      <c r="I15" s="5">
        <f t="shared" si="2"/>
        <v>2.0368420006756356</v>
      </c>
    </row>
    <row r="16" spans="1:11" x14ac:dyDescent="0.25">
      <c r="A16" s="4">
        <v>269.60000000000002</v>
      </c>
      <c r="B16" s="4">
        <v>821.6</v>
      </c>
      <c r="C16" s="4">
        <v>107.8</v>
      </c>
      <c r="D16" s="4">
        <v>20</v>
      </c>
      <c r="E16" s="4">
        <v>8.4700000000000006</v>
      </c>
      <c r="F16" s="4">
        <v>98.53</v>
      </c>
      <c r="G16" s="3">
        <f t="shared" si="0"/>
        <v>152.19861512809072</v>
      </c>
      <c r="H16" s="3">
        <f t="shared" si="1"/>
        <v>0.32814021421616363</v>
      </c>
      <c r="I16" s="5">
        <f t="shared" si="2"/>
        <v>3.0439723025618144</v>
      </c>
    </row>
    <row r="17" spans="1:10" x14ac:dyDescent="0.25">
      <c r="A17" s="4">
        <v>180.4</v>
      </c>
      <c r="B17" s="4">
        <v>1178.4000000000001</v>
      </c>
      <c r="C17" s="4">
        <v>107.8</v>
      </c>
      <c r="D17" s="4">
        <v>20</v>
      </c>
      <c r="E17" s="4">
        <v>12.18</v>
      </c>
      <c r="F17" s="4">
        <v>98.25</v>
      </c>
      <c r="G17" s="3">
        <f t="shared" si="0"/>
        <v>71.005999141000601</v>
      </c>
      <c r="H17" s="3">
        <f t="shared" si="1"/>
        <v>0.15308893414799729</v>
      </c>
      <c r="I17" s="5">
        <f t="shared" si="2"/>
        <v>1.420119982820012</v>
      </c>
    </row>
    <row r="18" spans="1:10" x14ac:dyDescent="0.25">
      <c r="A18" s="4">
        <v>269.60000000000002</v>
      </c>
      <c r="B18" s="4">
        <v>1178.4000000000001</v>
      </c>
      <c r="C18" s="4">
        <v>107.8</v>
      </c>
      <c r="D18" s="4">
        <v>20</v>
      </c>
      <c r="E18" s="4">
        <v>10.73</v>
      </c>
      <c r="F18" s="4">
        <v>98.38</v>
      </c>
      <c r="G18" s="3">
        <f t="shared" si="0"/>
        <v>106.11539561204968</v>
      </c>
      <c r="H18" s="3">
        <f t="shared" si="1"/>
        <v>0.2287847929395791</v>
      </c>
      <c r="I18" s="5">
        <f t="shared" si="2"/>
        <v>2.1223079122409931</v>
      </c>
    </row>
    <row r="19" spans="1:10" x14ac:dyDescent="0.25">
      <c r="A19" s="4">
        <v>150</v>
      </c>
      <c r="B19" s="4">
        <v>1000</v>
      </c>
      <c r="C19" s="4">
        <v>90</v>
      </c>
      <c r="D19" s="4">
        <v>20</v>
      </c>
      <c r="E19" s="4">
        <v>10.62</v>
      </c>
      <c r="F19" s="4">
        <v>98.37</v>
      </c>
      <c r="G19" s="3">
        <f t="shared" si="0"/>
        <v>83.333333333333329</v>
      </c>
      <c r="H19" s="3">
        <f t="shared" si="1"/>
        <v>0.15</v>
      </c>
      <c r="I19" s="5">
        <f t="shared" si="2"/>
        <v>1.6666666666666667</v>
      </c>
    </row>
    <row r="20" spans="1:10" x14ac:dyDescent="0.25">
      <c r="A20" s="4">
        <v>300</v>
      </c>
      <c r="B20" s="4">
        <v>1000</v>
      </c>
      <c r="C20" s="4">
        <v>90</v>
      </c>
      <c r="D20" s="4">
        <v>20</v>
      </c>
      <c r="E20" s="4">
        <v>8.35</v>
      </c>
      <c r="F20" s="4">
        <v>98.71</v>
      </c>
      <c r="G20" s="3">
        <f t="shared" si="0"/>
        <v>166.66666666666666</v>
      </c>
      <c r="H20" s="3">
        <f t="shared" si="1"/>
        <v>0.3</v>
      </c>
      <c r="I20" s="5">
        <f t="shared" si="2"/>
        <v>3.3333333333333335</v>
      </c>
    </row>
    <row r="21" spans="1:10" x14ac:dyDescent="0.25">
      <c r="A21" s="4">
        <v>225</v>
      </c>
      <c r="B21" s="4">
        <v>700</v>
      </c>
      <c r="C21" s="4">
        <v>90</v>
      </c>
      <c r="D21" s="4">
        <v>20</v>
      </c>
      <c r="E21" s="4">
        <v>8.11</v>
      </c>
      <c r="F21" s="4">
        <v>98.73</v>
      </c>
      <c r="G21" s="3">
        <f t="shared" si="0"/>
        <v>178.57142857142858</v>
      </c>
      <c r="H21" s="3">
        <f t="shared" si="1"/>
        <v>0.32142857142857145</v>
      </c>
      <c r="I21" s="5">
        <f t="shared" si="2"/>
        <v>3.5714285714285716</v>
      </c>
    </row>
    <row r="22" spans="1:10" x14ac:dyDescent="0.25">
      <c r="A22" s="4">
        <v>225</v>
      </c>
      <c r="B22" s="4">
        <v>1300</v>
      </c>
      <c r="C22" s="4">
        <v>90</v>
      </c>
      <c r="D22" s="4">
        <v>20</v>
      </c>
      <c r="E22" s="4">
        <v>10.26</v>
      </c>
      <c r="F22" s="4">
        <v>98.37</v>
      </c>
      <c r="G22" s="3">
        <f t="shared" si="0"/>
        <v>96.15384615384616</v>
      </c>
      <c r="H22" s="3">
        <f t="shared" si="1"/>
        <v>0.17307692307692307</v>
      </c>
      <c r="I22" s="5">
        <f t="shared" si="2"/>
        <v>1.9230769230769231</v>
      </c>
    </row>
    <row r="23" spans="1:10" x14ac:dyDescent="0.25">
      <c r="A23" s="4">
        <v>225</v>
      </c>
      <c r="B23" s="4">
        <v>1000</v>
      </c>
      <c r="C23" s="4">
        <v>60</v>
      </c>
      <c r="D23" s="4">
        <v>20</v>
      </c>
      <c r="E23" s="4">
        <v>11.73</v>
      </c>
      <c r="F23" s="4">
        <v>98.43</v>
      </c>
      <c r="G23" s="3">
        <f t="shared" si="0"/>
        <v>187.5</v>
      </c>
      <c r="H23" s="3">
        <f t="shared" si="1"/>
        <v>0.22500000000000001</v>
      </c>
      <c r="I23" s="5">
        <f t="shared" si="2"/>
        <v>3.75</v>
      </c>
    </row>
    <row r="24" spans="1:10" x14ac:dyDescent="0.25">
      <c r="A24" s="4">
        <v>225</v>
      </c>
      <c r="B24" s="4">
        <v>1000</v>
      </c>
      <c r="C24" s="4">
        <v>120</v>
      </c>
      <c r="D24" s="4">
        <v>20</v>
      </c>
      <c r="E24" s="4">
        <v>10.94</v>
      </c>
      <c r="F24" s="4">
        <v>98.33</v>
      </c>
      <c r="G24" s="3">
        <f t="shared" si="0"/>
        <v>93.75</v>
      </c>
      <c r="H24" s="3">
        <f t="shared" si="1"/>
        <v>0.22500000000000001</v>
      </c>
      <c r="I24" s="5">
        <f t="shared" si="2"/>
        <v>1.875</v>
      </c>
    </row>
    <row r="25" spans="1:10" x14ac:dyDescent="0.25">
      <c r="A25" s="4">
        <v>225</v>
      </c>
      <c r="B25" s="4">
        <v>1000</v>
      </c>
      <c r="C25" s="4">
        <v>90</v>
      </c>
      <c r="D25" s="4">
        <v>20</v>
      </c>
      <c r="E25" s="4">
        <v>8.73</v>
      </c>
      <c r="F25" s="4">
        <v>98.65</v>
      </c>
      <c r="G25" s="3">
        <f t="shared" si="0"/>
        <v>125</v>
      </c>
      <c r="H25" s="3">
        <f t="shared" si="1"/>
        <v>0.22500000000000001</v>
      </c>
      <c r="I25" s="5">
        <f t="shared" si="2"/>
        <v>2.5</v>
      </c>
    </row>
    <row r="26" spans="1:10" x14ac:dyDescent="0.25">
      <c r="A26" s="6">
        <v>60</v>
      </c>
      <c r="B26" s="6">
        <v>800</v>
      </c>
      <c r="C26" s="6">
        <v>80</v>
      </c>
      <c r="D26" s="6">
        <v>20</v>
      </c>
      <c r="E26" s="6">
        <v>8.1999999999999993</v>
      </c>
      <c r="F26" s="6">
        <v>98.02</v>
      </c>
      <c r="G26" s="5">
        <f t="shared" si="0"/>
        <v>46.875</v>
      </c>
      <c r="H26" s="3">
        <f t="shared" si="1"/>
        <v>7.4999999999999997E-2</v>
      </c>
      <c r="I26" s="5">
        <f t="shared" si="2"/>
        <v>0.9375</v>
      </c>
    </row>
    <row r="27" spans="1:10" x14ac:dyDescent="0.25">
      <c r="A27" s="6">
        <v>60</v>
      </c>
      <c r="B27" s="6">
        <v>700</v>
      </c>
      <c r="C27" s="6">
        <v>70</v>
      </c>
      <c r="D27" s="6">
        <v>20</v>
      </c>
      <c r="E27" s="6">
        <v>6.01</v>
      </c>
      <c r="F27" s="6">
        <v>99.66</v>
      </c>
      <c r="G27" s="5">
        <f t="shared" si="0"/>
        <v>61.224489795918366</v>
      </c>
      <c r="H27" s="3">
        <f t="shared" si="1"/>
        <v>8.5714285714285715E-2</v>
      </c>
      <c r="I27" s="5">
        <f t="shared" si="2"/>
        <v>1.2244897959183674</v>
      </c>
    </row>
    <row r="28" spans="1:10" x14ac:dyDescent="0.25">
      <c r="A28" s="6">
        <v>60</v>
      </c>
      <c r="B28" s="6">
        <v>600</v>
      </c>
      <c r="C28" s="6">
        <v>60</v>
      </c>
      <c r="D28" s="6">
        <v>20</v>
      </c>
      <c r="E28" s="6">
        <v>15.48</v>
      </c>
      <c r="F28" s="6">
        <v>99.25</v>
      </c>
      <c r="G28" s="5">
        <f t="shared" si="0"/>
        <v>83.333333333333329</v>
      </c>
      <c r="H28" s="3">
        <f t="shared" si="1"/>
        <v>0.1</v>
      </c>
      <c r="I28" s="5">
        <f t="shared" si="2"/>
        <v>1.6666666666666667</v>
      </c>
    </row>
    <row r="29" spans="1:10" x14ac:dyDescent="0.25">
      <c r="A29" s="6">
        <v>60</v>
      </c>
      <c r="B29" s="6">
        <v>900</v>
      </c>
      <c r="C29" s="6">
        <v>50</v>
      </c>
      <c r="D29" s="6">
        <v>20</v>
      </c>
      <c r="E29" s="6">
        <v>5.61</v>
      </c>
      <c r="F29" s="6">
        <v>99.59</v>
      </c>
      <c r="G29" s="5">
        <f t="shared" si="0"/>
        <v>66.666666666666671</v>
      </c>
      <c r="H29" s="3">
        <f t="shared" si="1"/>
        <v>6.6666666666666666E-2</v>
      </c>
      <c r="I29" s="5">
        <f t="shared" si="2"/>
        <v>1.3333333333333333</v>
      </c>
    </row>
    <row r="30" spans="1:10" x14ac:dyDescent="0.25">
      <c r="A30" s="6">
        <v>70</v>
      </c>
      <c r="B30" s="6">
        <v>800</v>
      </c>
      <c r="C30" s="6">
        <v>70</v>
      </c>
      <c r="D30" s="6">
        <v>20</v>
      </c>
      <c r="E30" s="6">
        <v>5.5</v>
      </c>
      <c r="F30" s="6">
        <v>99.49</v>
      </c>
      <c r="G30" s="5">
        <f t="shared" si="0"/>
        <v>62.5</v>
      </c>
      <c r="H30" s="3">
        <f t="shared" si="1"/>
        <v>8.7499999999999994E-2</v>
      </c>
      <c r="I30" s="5">
        <f t="shared" si="2"/>
        <v>1.25</v>
      </c>
    </row>
    <row r="31" spans="1:10" x14ac:dyDescent="0.25">
      <c r="A31" s="6">
        <v>70</v>
      </c>
      <c r="B31" s="6">
        <v>700</v>
      </c>
      <c r="C31" s="6">
        <v>80</v>
      </c>
      <c r="D31" s="6">
        <v>20</v>
      </c>
      <c r="E31" s="6">
        <v>6.27</v>
      </c>
      <c r="F31" s="6">
        <v>99.33</v>
      </c>
      <c r="G31" s="5">
        <f t="shared" si="0"/>
        <v>62.5</v>
      </c>
      <c r="H31" s="3">
        <f t="shared" si="1"/>
        <v>0.1</v>
      </c>
      <c r="I31" s="5">
        <f t="shared" si="2"/>
        <v>1.25</v>
      </c>
      <c r="J31" s="5"/>
    </row>
    <row r="32" spans="1:10" x14ac:dyDescent="0.25">
      <c r="A32" s="6">
        <v>70</v>
      </c>
      <c r="B32" s="6">
        <v>600</v>
      </c>
      <c r="C32" s="6">
        <v>50</v>
      </c>
      <c r="D32" s="6">
        <v>20</v>
      </c>
      <c r="E32" s="6">
        <v>25.02</v>
      </c>
      <c r="F32" s="6">
        <v>98.31</v>
      </c>
      <c r="G32" s="5">
        <f t="shared" si="0"/>
        <v>116.66666666666667</v>
      </c>
      <c r="H32" s="3">
        <f t="shared" si="1"/>
        <v>0.11666666666666667</v>
      </c>
      <c r="I32" s="5">
        <f t="shared" si="2"/>
        <v>2.3333333333333335</v>
      </c>
      <c r="J32" s="5"/>
    </row>
    <row r="33" spans="1:11" x14ac:dyDescent="0.25">
      <c r="A33" s="6">
        <v>70</v>
      </c>
      <c r="B33" s="6">
        <v>900</v>
      </c>
      <c r="C33" s="6">
        <v>60</v>
      </c>
      <c r="D33" s="6">
        <v>20</v>
      </c>
      <c r="E33" s="6">
        <v>5.76</v>
      </c>
      <c r="F33" s="6">
        <v>99.54</v>
      </c>
      <c r="G33" s="5">
        <f t="shared" si="0"/>
        <v>64.81481481481481</v>
      </c>
      <c r="H33" s="3">
        <f t="shared" si="1"/>
        <v>7.7777777777777779E-2</v>
      </c>
      <c r="I33" s="5">
        <f t="shared" si="2"/>
        <v>1.2962962962962963</v>
      </c>
      <c r="J33" s="5"/>
    </row>
    <row r="34" spans="1:11" x14ac:dyDescent="0.25">
      <c r="A34" s="6">
        <v>80</v>
      </c>
      <c r="B34" s="6">
        <v>800</v>
      </c>
      <c r="C34" s="6">
        <v>60</v>
      </c>
      <c r="D34" s="6">
        <v>20</v>
      </c>
      <c r="E34" s="6">
        <v>3.58</v>
      </c>
      <c r="F34" s="6">
        <v>99.55</v>
      </c>
      <c r="G34" s="5">
        <f t="shared" si="0"/>
        <v>83.333333333333329</v>
      </c>
      <c r="H34" s="3">
        <f t="shared" si="1"/>
        <v>0.1</v>
      </c>
      <c r="I34" s="5">
        <f t="shared" si="2"/>
        <v>1.6666666666666667</v>
      </c>
      <c r="J34" s="5"/>
    </row>
    <row r="35" spans="1:11" x14ac:dyDescent="0.25">
      <c r="A35" s="6">
        <v>80</v>
      </c>
      <c r="B35" s="6">
        <v>700</v>
      </c>
      <c r="C35" s="6">
        <v>50</v>
      </c>
      <c r="D35" s="6">
        <v>20</v>
      </c>
      <c r="E35" s="6">
        <v>6.06</v>
      </c>
      <c r="F35" s="6">
        <v>99.53</v>
      </c>
      <c r="G35" s="5">
        <f t="shared" si="0"/>
        <v>114.28571428571429</v>
      </c>
      <c r="H35" s="3">
        <f t="shared" si="1"/>
        <v>0.11428571428571428</v>
      </c>
      <c r="I35" s="5">
        <f t="shared" si="2"/>
        <v>2.2857142857142856</v>
      </c>
      <c r="J35" s="5"/>
    </row>
    <row r="36" spans="1:11" x14ac:dyDescent="0.25">
      <c r="A36" s="6">
        <v>80</v>
      </c>
      <c r="B36" s="6">
        <v>600</v>
      </c>
      <c r="C36" s="6">
        <v>80</v>
      </c>
      <c r="D36" s="6">
        <v>20</v>
      </c>
      <c r="E36" s="6">
        <v>6.29</v>
      </c>
      <c r="F36" s="6">
        <v>99.32</v>
      </c>
      <c r="G36" s="5">
        <f t="shared" si="0"/>
        <v>83.333333333333329</v>
      </c>
      <c r="H36" s="3">
        <f t="shared" si="1"/>
        <v>0.13333333333333333</v>
      </c>
      <c r="I36" s="5">
        <f t="shared" si="2"/>
        <v>1.6666666666666667</v>
      </c>
      <c r="J36" s="5"/>
    </row>
    <row r="37" spans="1:11" x14ac:dyDescent="0.25">
      <c r="A37" s="6">
        <v>80</v>
      </c>
      <c r="B37" s="6">
        <v>900</v>
      </c>
      <c r="C37" s="6">
        <v>70</v>
      </c>
      <c r="D37" s="6">
        <v>20</v>
      </c>
      <c r="E37" s="6">
        <v>4.2</v>
      </c>
      <c r="F37" s="6">
        <v>99.25</v>
      </c>
      <c r="G37" s="5">
        <f t="shared" si="0"/>
        <v>63.492063492063494</v>
      </c>
      <c r="H37" s="3">
        <f t="shared" si="1"/>
        <v>8.8888888888888892E-2</v>
      </c>
      <c r="I37" s="5">
        <f t="shared" si="2"/>
        <v>1.2698412698412698</v>
      </c>
      <c r="J37" s="5"/>
    </row>
    <row r="38" spans="1:11" x14ac:dyDescent="0.25">
      <c r="A38" s="6">
        <v>90</v>
      </c>
      <c r="B38" s="6">
        <v>800</v>
      </c>
      <c r="C38" s="6">
        <v>50</v>
      </c>
      <c r="D38" s="6">
        <v>20</v>
      </c>
      <c r="E38" s="6">
        <v>2.6</v>
      </c>
      <c r="F38" s="6">
        <v>99.21</v>
      </c>
      <c r="G38" s="5">
        <f t="shared" si="0"/>
        <v>112.5</v>
      </c>
      <c r="H38" s="3">
        <f t="shared" si="1"/>
        <v>0.1125</v>
      </c>
      <c r="I38" s="5">
        <f t="shared" si="2"/>
        <v>2.25</v>
      </c>
      <c r="J38" s="5"/>
    </row>
    <row r="39" spans="1:11" x14ac:dyDescent="0.25">
      <c r="A39" s="6">
        <v>90</v>
      </c>
      <c r="B39" s="6">
        <v>700</v>
      </c>
      <c r="C39" s="6">
        <v>60</v>
      </c>
      <c r="D39" s="6">
        <v>20</v>
      </c>
      <c r="E39" s="6">
        <v>3.85</v>
      </c>
      <c r="F39" s="6">
        <v>99.46</v>
      </c>
      <c r="G39" s="5">
        <f t="shared" si="0"/>
        <v>107.14285714285714</v>
      </c>
      <c r="H39" s="3">
        <f t="shared" si="1"/>
        <v>0.12857142857142856</v>
      </c>
      <c r="I39" s="5">
        <f t="shared" si="2"/>
        <v>2.1428571428571428</v>
      </c>
      <c r="J39" s="5"/>
    </row>
    <row r="40" spans="1:11" x14ac:dyDescent="0.25">
      <c r="A40" s="6">
        <v>90</v>
      </c>
      <c r="B40" s="6">
        <v>600</v>
      </c>
      <c r="C40" s="6">
        <v>70</v>
      </c>
      <c r="D40" s="6">
        <v>20</v>
      </c>
      <c r="E40" s="6">
        <v>4.28</v>
      </c>
      <c r="F40" s="6">
        <v>99.48</v>
      </c>
      <c r="G40" s="5">
        <f t="shared" si="0"/>
        <v>107.14285714285714</v>
      </c>
      <c r="H40" s="3">
        <f t="shared" si="1"/>
        <v>0.15</v>
      </c>
      <c r="I40" s="5">
        <f t="shared" si="2"/>
        <v>2.1428571428571428</v>
      </c>
      <c r="J40" s="5"/>
    </row>
    <row r="41" spans="1:11" x14ac:dyDescent="0.25">
      <c r="A41" s="6">
        <v>90</v>
      </c>
      <c r="B41" s="6">
        <v>900</v>
      </c>
      <c r="C41" s="6">
        <v>80</v>
      </c>
      <c r="D41" s="6">
        <v>20</v>
      </c>
      <c r="E41" s="6">
        <v>5.55</v>
      </c>
      <c r="F41" s="6">
        <v>99.32</v>
      </c>
      <c r="G41" s="5">
        <f t="shared" si="0"/>
        <v>62.5</v>
      </c>
      <c r="H41" s="3">
        <f t="shared" si="1"/>
        <v>0.1</v>
      </c>
      <c r="I41" s="5">
        <f t="shared" si="2"/>
        <v>1.25</v>
      </c>
      <c r="J41" s="5"/>
    </row>
    <row r="42" spans="1:11" x14ac:dyDescent="0.25">
      <c r="A42" s="5">
        <v>359</v>
      </c>
      <c r="B42" s="5">
        <v>700</v>
      </c>
      <c r="C42" s="5">
        <v>120</v>
      </c>
      <c r="D42" s="5">
        <v>50</v>
      </c>
      <c r="E42" s="5">
        <v>19.71</v>
      </c>
      <c r="F42" s="5">
        <v>91</v>
      </c>
      <c r="G42" s="5">
        <f t="shared" ref="G42:G49" si="3">1000000*A42/(B42*C42*D42)</f>
        <v>85.476190476190482</v>
      </c>
      <c r="H42" s="3">
        <f t="shared" ref="H42:H49" si="4">A42/B42</f>
        <v>0.5128571428571429</v>
      </c>
      <c r="I42" s="5">
        <f t="shared" ref="I42:I49" si="5">1000*A42/(B42*C42)</f>
        <v>4.2738095238095237</v>
      </c>
      <c r="J42" s="5"/>
    </row>
    <row r="43" spans="1:11" x14ac:dyDescent="0.25">
      <c r="A43" s="3">
        <v>170</v>
      </c>
      <c r="B43" s="3">
        <v>1000</v>
      </c>
      <c r="C43" s="3">
        <v>80</v>
      </c>
      <c r="D43" s="3">
        <v>40</v>
      </c>
      <c r="E43" s="3">
        <v>4.51</v>
      </c>
      <c r="F43" s="3">
        <v>99.84</v>
      </c>
      <c r="G43" s="3">
        <f t="shared" si="3"/>
        <v>53.125</v>
      </c>
      <c r="H43" s="3">
        <f t="shared" si="4"/>
        <v>0.17</v>
      </c>
      <c r="I43" s="5">
        <f t="shared" si="5"/>
        <v>2.125</v>
      </c>
      <c r="J43" s="5"/>
    </row>
    <row r="44" spans="1:11" x14ac:dyDescent="0.25">
      <c r="A44" s="3">
        <v>170</v>
      </c>
      <c r="B44" s="3">
        <v>1050</v>
      </c>
      <c r="C44" s="3">
        <v>100</v>
      </c>
      <c r="D44" s="3">
        <v>40</v>
      </c>
      <c r="E44" s="3">
        <v>5.64</v>
      </c>
      <c r="F44" s="3">
        <v>98.96</v>
      </c>
      <c r="G44" s="3">
        <f t="shared" si="3"/>
        <v>40.476190476190474</v>
      </c>
      <c r="H44" s="3">
        <f t="shared" si="4"/>
        <v>0.16190476190476191</v>
      </c>
      <c r="I44" s="5">
        <f t="shared" si="5"/>
        <v>1.6190476190476191</v>
      </c>
      <c r="J44" s="5"/>
    </row>
    <row r="45" spans="1:11" x14ac:dyDescent="0.25">
      <c r="A45" s="3">
        <v>170</v>
      </c>
      <c r="B45" s="3">
        <v>1100</v>
      </c>
      <c r="C45" s="3">
        <v>120</v>
      </c>
      <c r="D45" s="3">
        <v>40</v>
      </c>
      <c r="E45" s="3">
        <v>6.47</v>
      </c>
      <c r="F45" s="3">
        <v>94.84</v>
      </c>
      <c r="G45" s="3">
        <f t="shared" si="3"/>
        <v>32.196969696969695</v>
      </c>
      <c r="H45" s="3">
        <f t="shared" si="4"/>
        <v>0.15454545454545454</v>
      </c>
      <c r="I45" s="5">
        <f t="shared" si="5"/>
        <v>1.2878787878787878</v>
      </c>
      <c r="J45" s="5"/>
    </row>
    <row r="46" spans="1:11" x14ac:dyDescent="0.25">
      <c r="A46" s="3">
        <v>195</v>
      </c>
      <c r="B46" s="3">
        <v>1000</v>
      </c>
      <c r="C46" s="3">
        <v>100</v>
      </c>
      <c r="D46" s="3">
        <v>40</v>
      </c>
      <c r="E46" s="3">
        <v>4.07</v>
      </c>
      <c r="F46" s="3">
        <v>99.85</v>
      </c>
      <c r="G46" s="3">
        <f t="shared" si="3"/>
        <v>48.75</v>
      </c>
      <c r="H46" s="3">
        <f t="shared" si="4"/>
        <v>0.19500000000000001</v>
      </c>
      <c r="I46" s="5">
        <f t="shared" si="5"/>
        <v>1.95</v>
      </c>
      <c r="J46" s="5"/>
    </row>
    <row r="47" spans="1:11" x14ac:dyDescent="0.25">
      <c r="A47" s="3">
        <v>195</v>
      </c>
      <c r="B47" s="3">
        <v>1050</v>
      </c>
      <c r="C47" s="3">
        <v>120</v>
      </c>
      <c r="D47" s="3">
        <v>40</v>
      </c>
      <c r="E47" s="3">
        <v>6.05</v>
      </c>
      <c r="F47" s="3">
        <v>98.87</v>
      </c>
      <c r="G47" s="3">
        <f t="shared" si="3"/>
        <v>38.69047619047619</v>
      </c>
      <c r="H47" s="3">
        <f t="shared" si="4"/>
        <v>0.18571428571428572</v>
      </c>
      <c r="I47" s="5">
        <f t="shared" si="5"/>
        <v>1.5476190476190477</v>
      </c>
      <c r="J47" s="5"/>
      <c r="K47" s="5"/>
    </row>
    <row r="48" spans="1:11" x14ac:dyDescent="0.25">
      <c r="A48" s="3">
        <v>195</v>
      </c>
      <c r="B48" s="3">
        <v>1100</v>
      </c>
      <c r="C48" s="3">
        <v>80</v>
      </c>
      <c r="D48" s="3">
        <v>40</v>
      </c>
      <c r="E48" s="3">
        <v>5.32</v>
      </c>
      <c r="F48" s="3">
        <v>99.89</v>
      </c>
      <c r="G48" s="3">
        <f t="shared" si="3"/>
        <v>55.397727272727273</v>
      </c>
      <c r="H48" s="3">
        <f t="shared" si="4"/>
        <v>0.17727272727272728</v>
      </c>
      <c r="I48" s="5">
        <f t="shared" si="5"/>
        <v>2.2159090909090908</v>
      </c>
    </row>
    <row r="49" spans="1:12" x14ac:dyDescent="0.25">
      <c r="A49" s="3">
        <v>220</v>
      </c>
      <c r="B49" s="3">
        <v>1000</v>
      </c>
      <c r="C49" s="3">
        <v>120</v>
      </c>
      <c r="D49" s="3">
        <v>40</v>
      </c>
      <c r="E49" s="3">
        <v>4.8899999999999997</v>
      </c>
      <c r="F49" s="3">
        <v>99.68</v>
      </c>
      <c r="G49" s="3">
        <f t="shared" si="3"/>
        <v>45.833333333333336</v>
      </c>
      <c r="H49" s="3">
        <f t="shared" si="4"/>
        <v>0.22</v>
      </c>
      <c r="I49" s="5">
        <f t="shared" si="5"/>
        <v>1.8333333333333333</v>
      </c>
    </row>
    <row r="50" spans="1:12" x14ac:dyDescent="0.25">
      <c r="A50" s="3">
        <v>220</v>
      </c>
      <c r="B50" s="3">
        <v>1100</v>
      </c>
      <c r="C50" s="3">
        <v>100</v>
      </c>
      <c r="D50" s="3">
        <v>40</v>
      </c>
      <c r="E50" s="3">
        <v>5.32</v>
      </c>
      <c r="F50" s="3">
        <v>99.9</v>
      </c>
      <c r="G50" s="3">
        <f t="shared" ref="G50:G80" si="6">1000000*A50/(B50*C50*D50)</f>
        <v>50</v>
      </c>
      <c r="H50" s="3">
        <f t="shared" ref="H50:H64" si="7">A50/B50</f>
        <v>0.2</v>
      </c>
      <c r="I50" s="5">
        <f t="shared" ref="I50:I64" si="8">1000*A50/(B50*C50)</f>
        <v>2</v>
      </c>
    </row>
    <row r="51" spans="1:12" x14ac:dyDescent="0.25">
      <c r="A51" s="5">
        <v>150</v>
      </c>
      <c r="B51" s="5">
        <v>400</v>
      </c>
      <c r="C51" s="5">
        <v>80</v>
      </c>
      <c r="D51" s="5">
        <v>40</v>
      </c>
      <c r="E51" s="5">
        <v>6.03</v>
      </c>
      <c r="F51" s="5">
        <v>99</v>
      </c>
      <c r="G51" s="5">
        <f t="shared" si="6"/>
        <v>117.1875</v>
      </c>
      <c r="H51" s="3">
        <f t="shared" si="7"/>
        <v>0.375</v>
      </c>
      <c r="I51" s="5">
        <f t="shared" si="8"/>
        <v>4.6875</v>
      </c>
    </row>
    <row r="52" spans="1:12" x14ac:dyDescent="0.25">
      <c r="A52" s="5">
        <v>150</v>
      </c>
      <c r="B52" s="5">
        <v>500</v>
      </c>
      <c r="C52" s="5">
        <v>80</v>
      </c>
      <c r="D52" s="5">
        <v>40</v>
      </c>
      <c r="E52" s="5">
        <v>7.62</v>
      </c>
      <c r="F52" s="5">
        <v>99.3</v>
      </c>
      <c r="G52" s="5">
        <f t="shared" si="6"/>
        <v>93.75</v>
      </c>
      <c r="H52" s="3">
        <f t="shared" si="7"/>
        <v>0.3</v>
      </c>
      <c r="I52" s="5">
        <f t="shared" si="8"/>
        <v>3.75</v>
      </c>
    </row>
    <row r="53" spans="1:12" x14ac:dyDescent="0.25">
      <c r="A53" s="5">
        <v>150</v>
      </c>
      <c r="B53" s="5">
        <v>600</v>
      </c>
      <c r="C53" s="5">
        <v>80</v>
      </c>
      <c r="D53" s="5">
        <v>40</v>
      </c>
      <c r="E53" s="5">
        <v>8.2100000000000009</v>
      </c>
      <c r="F53" s="5">
        <v>98.2</v>
      </c>
      <c r="G53" s="5">
        <f t="shared" si="6"/>
        <v>78.125</v>
      </c>
      <c r="H53" s="3">
        <f t="shared" si="7"/>
        <v>0.25</v>
      </c>
      <c r="I53" s="5">
        <f t="shared" si="8"/>
        <v>3.125</v>
      </c>
    </row>
    <row r="54" spans="1:12" x14ac:dyDescent="0.25">
      <c r="A54" s="5">
        <v>150</v>
      </c>
      <c r="B54" s="5">
        <v>700</v>
      </c>
      <c r="C54" s="5">
        <v>80</v>
      </c>
      <c r="D54" s="5">
        <v>40</v>
      </c>
      <c r="E54" s="5">
        <v>10.27</v>
      </c>
      <c r="F54" s="5">
        <v>95.9</v>
      </c>
      <c r="G54" s="5">
        <f t="shared" si="6"/>
        <v>66.964285714285708</v>
      </c>
      <c r="H54" s="3">
        <f t="shared" si="7"/>
        <v>0.21428571428571427</v>
      </c>
      <c r="I54" s="5">
        <f t="shared" si="8"/>
        <v>2.6785714285714284</v>
      </c>
    </row>
    <row r="55" spans="1:12" x14ac:dyDescent="0.25">
      <c r="A55" s="5">
        <v>150</v>
      </c>
      <c r="B55" s="5">
        <v>800</v>
      </c>
      <c r="C55" s="5">
        <v>80</v>
      </c>
      <c r="D55" s="5">
        <v>40</v>
      </c>
      <c r="E55" s="5">
        <v>12.49</v>
      </c>
      <c r="F55" s="5">
        <v>91.7</v>
      </c>
      <c r="G55" s="5">
        <f t="shared" si="6"/>
        <v>58.59375</v>
      </c>
      <c r="H55" s="3">
        <f t="shared" si="7"/>
        <v>0.1875</v>
      </c>
      <c r="I55" s="5">
        <f t="shared" si="8"/>
        <v>2.34375</v>
      </c>
    </row>
    <row r="56" spans="1:12" x14ac:dyDescent="0.25">
      <c r="A56" s="5">
        <v>100</v>
      </c>
      <c r="B56" s="5">
        <v>250</v>
      </c>
      <c r="C56" s="5">
        <v>80</v>
      </c>
      <c r="D56" s="5">
        <v>30</v>
      </c>
      <c r="E56" s="5">
        <v>12.24</v>
      </c>
      <c r="F56" s="5">
        <v>89.31</v>
      </c>
      <c r="G56" s="5">
        <f t="shared" si="6"/>
        <v>166.66666666666666</v>
      </c>
      <c r="H56" s="3">
        <f t="shared" si="7"/>
        <v>0.4</v>
      </c>
      <c r="I56" s="5">
        <f t="shared" si="8"/>
        <v>5</v>
      </c>
    </row>
    <row r="57" spans="1:12" x14ac:dyDescent="0.25">
      <c r="A57" s="5">
        <v>100</v>
      </c>
      <c r="B57" s="5">
        <v>400</v>
      </c>
      <c r="C57" s="5">
        <v>80</v>
      </c>
      <c r="D57" s="5">
        <v>30</v>
      </c>
      <c r="E57" s="5">
        <v>9.4600000000000009</v>
      </c>
      <c r="F57" s="5">
        <v>95.24</v>
      </c>
      <c r="G57" s="5">
        <f t="shared" si="6"/>
        <v>104.16666666666667</v>
      </c>
      <c r="H57" s="3">
        <f t="shared" si="7"/>
        <v>0.25</v>
      </c>
      <c r="I57" s="5">
        <f t="shared" si="8"/>
        <v>3.125</v>
      </c>
      <c r="J57" s="5"/>
    </row>
    <row r="58" spans="1:12" x14ac:dyDescent="0.25">
      <c r="A58" s="5">
        <v>100</v>
      </c>
      <c r="B58" s="5">
        <v>550</v>
      </c>
      <c r="C58" s="5">
        <v>80</v>
      </c>
      <c r="D58" s="5">
        <v>30</v>
      </c>
      <c r="E58" s="5">
        <v>13.04</v>
      </c>
      <c r="F58" s="5">
        <v>85.93</v>
      </c>
      <c r="G58" s="5">
        <f t="shared" si="6"/>
        <v>75.757575757575751</v>
      </c>
      <c r="H58" s="3">
        <f t="shared" si="7"/>
        <v>0.18181818181818182</v>
      </c>
      <c r="I58" s="5">
        <f t="shared" si="8"/>
        <v>2.2727272727272729</v>
      </c>
      <c r="J58" s="5"/>
    </row>
    <row r="59" spans="1:12" x14ac:dyDescent="0.25">
      <c r="A59" s="5">
        <v>100</v>
      </c>
      <c r="B59" s="5">
        <v>700</v>
      </c>
      <c r="C59" s="5">
        <v>80</v>
      </c>
      <c r="D59" s="5">
        <v>30</v>
      </c>
      <c r="E59" s="5">
        <v>13.64</v>
      </c>
      <c r="F59" s="5">
        <v>85.93</v>
      </c>
      <c r="G59" s="5">
        <f t="shared" si="6"/>
        <v>59.523809523809526</v>
      </c>
      <c r="H59" s="3">
        <f t="shared" si="7"/>
        <v>0.14285714285714285</v>
      </c>
      <c r="I59" s="5">
        <f t="shared" si="8"/>
        <v>1.7857142857142858</v>
      </c>
      <c r="J59" s="5"/>
    </row>
    <row r="60" spans="1:12" x14ac:dyDescent="0.25">
      <c r="A60" s="5">
        <v>120</v>
      </c>
      <c r="B60" s="5">
        <v>300</v>
      </c>
      <c r="C60" s="5">
        <v>80</v>
      </c>
      <c r="D60" s="5">
        <v>30</v>
      </c>
      <c r="E60" s="5">
        <v>10.65</v>
      </c>
      <c r="F60" s="5">
        <v>96.35</v>
      </c>
      <c r="G60" s="5">
        <f t="shared" si="6"/>
        <v>166.66666666666666</v>
      </c>
      <c r="H60" s="3">
        <f t="shared" si="7"/>
        <v>0.4</v>
      </c>
      <c r="I60" s="5">
        <f t="shared" si="8"/>
        <v>5</v>
      </c>
      <c r="J60" s="5"/>
    </row>
    <row r="61" spans="1:12" x14ac:dyDescent="0.25">
      <c r="A61" s="5">
        <v>120</v>
      </c>
      <c r="B61" s="5">
        <v>500</v>
      </c>
      <c r="C61" s="5">
        <v>80</v>
      </c>
      <c r="D61" s="5">
        <v>30</v>
      </c>
      <c r="E61" s="5">
        <v>8.82</v>
      </c>
      <c r="F61" s="5">
        <v>96.72</v>
      </c>
      <c r="G61" s="5">
        <f t="shared" si="6"/>
        <v>100</v>
      </c>
      <c r="H61" s="3">
        <f t="shared" si="7"/>
        <v>0.24</v>
      </c>
      <c r="I61" s="5">
        <f t="shared" si="8"/>
        <v>3</v>
      </c>
      <c r="J61" s="5"/>
    </row>
    <row r="62" spans="1:12" x14ac:dyDescent="0.25">
      <c r="A62" s="5">
        <v>120</v>
      </c>
      <c r="B62" s="5">
        <v>700</v>
      </c>
      <c r="C62" s="5">
        <v>80</v>
      </c>
      <c r="D62" s="5">
        <v>30</v>
      </c>
      <c r="E62" s="5">
        <v>12.53</v>
      </c>
      <c r="F62" s="5">
        <v>88.74</v>
      </c>
      <c r="G62" s="5">
        <f t="shared" si="6"/>
        <v>71.428571428571431</v>
      </c>
      <c r="H62" s="3">
        <f t="shared" si="7"/>
        <v>0.17142857142857143</v>
      </c>
      <c r="I62" s="5">
        <f t="shared" si="8"/>
        <v>2.1428571428571428</v>
      </c>
      <c r="J62" s="5"/>
      <c r="K62" s="5"/>
      <c r="L62" s="5"/>
    </row>
    <row r="63" spans="1:12" x14ac:dyDescent="0.25">
      <c r="A63" s="5">
        <v>120</v>
      </c>
      <c r="B63" s="5">
        <v>900</v>
      </c>
      <c r="C63" s="5">
        <v>80</v>
      </c>
      <c r="D63" s="5">
        <v>30</v>
      </c>
      <c r="E63" s="5">
        <v>13.76</v>
      </c>
      <c r="F63" s="5">
        <v>86.27</v>
      </c>
      <c r="G63" s="5">
        <f t="shared" si="6"/>
        <v>55.555555555555557</v>
      </c>
      <c r="H63" s="3">
        <f t="shared" si="7"/>
        <v>0.13333333333333333</v>
      </c>
      <c r="I63" s="5">
        <f t="shared" si="8"/>
        <v>1.6666666666666667</v>
      </c>
      <c r="J63" s="5"/>
      <c r="K63" s="5"/>
    </row>
    <row r="64" spans="1:12" x14ac:dyDescent="0.25">
      <c r="A64" s="5">
        <v>150</v>
      </c>
      <c r="B64" s="5">
        <v>400</v>
      </c>
      <c r="C64" s="5">
        <v>80</v>
      </c>
      <c r="D64" s="5">
        <v>30</v>
      </c>
      <c r="E64" s="5">
        <v>4.79</v>
      </c>
      <c r="F64" s="5">
        <v>98.93</v>
      </c>
      <c r="G64" s="5">
        <f t="shared" si="6"/>
        <v>156.25</v>
      </c>
      <c r="H64" s="3">
        <f t="shared" si="7"/>
        <v>0.375</v>
      </c>
      <c r="I64" s="5">
        <f t="shared" si="8"/>
        <v>4.6875</v>
      </c>
      <c r="J64" s="5"/>
      <c r="K64" s="5"/>
    </row>
    <row r="65" spans="1:11" x14ac:dyDescent="0.25">
      <c r="A65" s="5">
        <v>150</v>
      </c>
      <c r="B65" s="5">
        <v>700</v>
      </c>
      <c r="C65" s="5">
        <v>80</v>
      </c>
      <c r="D65" s="5">
        <v>30</v>
      </c>
      <c r="E65" s="5">
        <v>10.28</v>
      </c>
      <c r="F65" s="5">
        <v>95.23</v>
      </c>
      <c r="G65" s="5">
        <f t="shared" si="6"/>
        <v>89.285714285714292</v>
      </c>
      <c r="H65" s="3">
        <f t="shared" ref="H65:H96" si="9">A65/B65</f>
        <v>0.21428571428571427</v>
      </c>
      <c r="I65" s="5">
        <f t="shared" ref="I65:I96" si="10">1000*A65/(B65*C65)</f>
        <v>2.6785714285714284</v>
      </c>
      <c r="J65" s="5"/>
      <c r="K65" s="5"/>
    </row>
    <row r="66" spans="1:11" x14ac:dyDescent="0.25">
      <c r="A66" s="5">
        <v>150</v>
      </c>
      <c r="B66" s="5">
        <v>1000</v>
      </c>
      <c r="C66" s="5">
        <v>80</v>
      </c>
      <c r="D66" s="5">
        <v>30</v>
      </c>
      <c r="E66" s="5">
        <v>13.05</v>
      </c>
      <c r="F66" s="5">
        <v>87.78</v>
      </c>
      <c r="G66" s="5">
        <f t="shared" si="6"/>
        <v>62.5</v>
      </c>
      <c r="H66" s="3">
        <f t="shared" si="9"/>
        <v>0.15</v>
      </c>
      <c r="I66" s="5">
        <f t="shared" si="10"/>
        <v>1.875</v>
      </c>
      <c r="J66" s="5"/>
      <c r="K66" s="5"/>
    </row>
    <row r="67" spans="1:11" x14ac:dyDescent="0.25">
      <c r="A67" s="5">
        <v>150</v>
      </c>
      <c r="B67" s="5">
        <v>1300</v>
      </c>
      <c r="C67" s="5">
        <v>80</v>
      </c>
      <c r="D67" s="5">
        <v>30</v>
      </c>
      <c r="E67" s="5">
        <v>13.89</v>
      </c>
      <c r="F67" s="5">
        <v>79.53</v>
      </c>
      <c r="G67" s="5">
        <f t="shared" si="6"/>
        <v>48.07692307692308</v>
      </c>
      <c r="H67" s="3">
        <f t="shared" si="9"/>
        <v>0.11538461538461539</v>
      </c>
      <c r="I67" s="5">
        <f t="shared" si="10"/>
        <v>1.4423076923076923</v>
      </c>
      <c r="J67" s="5"/>
      <c r="K67" s="5"/>
    </row>
    <row r="68" spans="1:11" x14ac:dyDescent="0.25">
      <c r="A68" s="5">
        <v>150</v>
      </c>
      <c r="B68" s="5">
        <v>700</v>
      </c>
      <c r="C68" s="5">
        <v>60</v>
      </c>
      <c r="D68" s="5">
        <v>30</v>
      </c>
      <c r="E68" s="5">
        <v>7.52</v>
      </c>
      <c r="F68" s="5">
        <v>96.64</v>
      </c>
      <c r="G68" s="5">
        <f t="shared" si="6"/>
        <v>119.04761904761905</v>
      </c>
      <c r="H68" s="3">
        <f t="shared" si="9"/>
        <v>0.21428571428571427</v>
      </c>
      <c r="I68" s="5">
        <f t="shared" si="10"/>
        <v>3.5714285714285716</v>
      </c>
      <c r="J68" s="5"/>
      <c r="K68" s="5"/>
    </row>
    <row r="69" spans="1:11" x14ac:dyDescent="0.25">
      <c r="A69" s="5">
        <v>150</v>
      </c>
      <c r="B69" s="5">
        <v>700</v>
      </c>
      <c r="C69" s="5">
        <v>70</v>
      </c>
      <c r="D69" s="5">
        <v>30</v>
      </c>
      <c r="E69" s="5">
        <v>8.61</v>
      </c>
      <c r="F69" s="5">
        <v>96.68</v>
      </c>
      <c r="G69" s="5">
        <f t="shared" si="6"/>
        <v>102.04081632653062</v>
      </c>
      <c r="H69" s="3">
        <f t="shared" si="9"/>
        <v>0.21428571428571427</v>
      </c>
      <c r="I69" s="5">
        <f t="shared" si="10"/>
        <v>3.0612244897959182</v>
      </c>
      <c r="J69" s="5"/>
      <c r="K69" s="5"/>
    </row>
    <row r="70" spans="1:11" x14ac:dyDescent="0.25">
      <c r="A70" s="5">
        <v>150</v>
      </c>
      <c r="B70" s="5">
        <v>700</v>
      </c>
      <c r="C70" s="5">
        <v>90</v>
      </c>
      <c r="D70" s="5">
        <v>30</v>
      </c>
      <c r="E70" s="5">
        <v>11.94</v>
      </c>
      <c r="F70" s="5">
        <v>94.53</v>
      </c>
      <c r="G70" s="5">
        <f t="shared" si="6"/>
        <v>79.365079365079367</v>
      </c>
      <c r="H70" s="3">
        <f t="shared" si="9"/>
        <v>0.21428571428571427</v>
      </c>
      <c r="I70" s="5">
        <f t="shared" si="10"/>
        <v>2.3809523809523809</v>
      </c>
      <c r="J70" s="5"/>
      <c r="K70" s="5"/>
    </row>
    <row r="71" spans="1:11" x14ac:dyDescent="0.25">
      <c r="A71" s="5">
        <v>150</v>
      </c>
      <c r="B71" s="5">
        <v>700</v>
      </c>
      <c r="C71" s="5">
        <v>100</v>
      </c>
      <c r="D71" s="5">
        <v>30</v>
      </c>
      <c r="E71" s="5">
        <v>12.53</v>
      </c>
      <c r="F71" s="5">
        <v>89.5</v>
      </c>
      <c r="G71" s="5">
        <f t="shared" si="6"/>
        <v>71.428571428571431</v>
      </c>
      <c r="H71" s="3">
        <f t="shared" si="9"/>
        <v>0.21428571428571427</v>
      </c>
      <c r="I71" s="5">
        <f t="shared" si="10"/>
        <v>2.1428571428571428</v>
      </c>
      <c r="J71" s="5"/>
      <c r="K71" s="5"/>
    </row>
    <row r="72" spans="1:11" x14ac:dyDescent="0.25">
      <c r="A72" s="5">
        <v>150</v>
      </c>
      <c r="B72" s="5">
        <v>350</v>
      </c>
      <c r="C72" s="5">
        <v>80</v>
      </c>
      <c r="D72" s="5">
        <v>30</v>
      </c>
      <c r="E72" s="5">
        <v>11.26</v>
      </c>
      <c r="F72" s="5">
        <v>95.12</v>
      </c>
      <c r="G72" s="5">
        <f t="shared" si="6"/>
        <v>178.57142857142858</v>
      </c>
      <c r="H72" s="3">
        <f t="shared" si="9"/>
        <v>0.42857142857142855</v>
      </c>
      <c r="I72" s="5">
        <f t="shared" si="10"/>
        <v>5.3571428571428568</v>
      </c>
      <c r="J72" s="5"/>
      <c r="K72" s="5"/>
    </row>
    <row r="73" spans="1:11" x14ac:dyDescent="0.25">
      <c r="A73" s="5">
        <v>150</v>
      </c>
      <c r="B73" s="5">
        <v>400</v>
      </c>
      <c r="C73" s="5">
        <v>80</v>
      </c>
      <c r="D73" s="5">
        <v>30</v>
      </c>
      <c r="E73" s="5">
        <v>6.03</v>
      </c>
      <c r="F73" s="5">
        <v>99.35</v>
      </c>
      <c r="G73" s="5">
        <f t="shared" si="6"/>
        <v>156.25</v>
      </c>
      <c r="H73" s="3">
        <f t="shared" si="9"/>
        <v>0.375</v>
      </c>
      <c r="I73" s="5">
        <f t="shared" si="10"/>
        <v>4.6875</v>
      </c>
      <c r="J73" s="5"/>
      <c r="K73" s="5"/>
    </row>
    <row r="74" spans="1:11" x14ac:dyDescent="0.25">
      <c r="A74" s="5">
        <v>150</v>
      </c>
      <c r="B74" s="5">
        <v>450</v>
      </c>
      <c r="C74" s="5">
        <v>80</v>
      </c>
      <c r="D74" s="5">
        <v>30</v>
      </c>
      <c r="E74" s="5">
        <v>6.32</v>
      </c>
      <c r="F74" s="5">
        <v>98.23</v>
      </c>
      <c r="G74" s="5">
        <f t="shared" si="6"/>
        <v>138.88888888888889</v>
      </c>
      <c r="H74" s="3">
        <f t="shared" si="9"/>
        <v>0.33333333333333331</v>
      </c>
      <c r="I74" s="5">
        <f t="shared" si="10"/>
        <v>4.166666666666667</v>
      </c>
      <c r="J74" s="5"/>
      <c r="K74" s="5"/>
    </row>
    <row r="75" spans="1:11" x14ac:dyDescent="0.25">
      <c r="A75" s="5">
        <v>150</v>
      </c>
      <c r="B75" s="5">
        <v>500</v>
      </c>
      <c r="C75" s="5">
        <v>80</v>
      </c>
      <c r="D75" s="5">
        <v>30</v>
      </c>
      <c r="E75" s="5">
        <v>7.62</v>
      </c>
      <c r="F75" s="5">
        <v>97.87</v>
      </c>
      <c r="G75" s="5">
        <f t="shared" si="6"/>
        <v>125</v>
      </c>
      <c r="H75" s="3">
        <f t="shared" si="9"/>
        <v>0.3</v>
      </c>
      <c r="I75" s="5">
        <f t="shared" si="10"/>
        <v>3.75</v>
      </c>
      <c r="J75" s="5"/>
      <c r="K75" s="5"/>
    </row>
    <row r="76" spans="1:11" x14ac:dyDescent="0.25">
      <c r="A76" s="5">
        <v>150</v>
      </c>
      <c r="B76" s="5">
        <v>550</v>
      </c>
      <c r="C76" s="5">
        <v>80</v>
      </c>
      <c r="D76" s="5">
        <v>30</v>
      </c>
      <c r="E76" s="5">
        <v>8.43</v>
      </c>
      <c r="F76" s="5">
        <v>96.61</v>
      </c>
      <c r="G76" s="5">
        <f t="shared" si="6"/>
        <v>113.63636363636364</v>
      </c>
      <c r="H76" s="3">
        <f t="shared" si="9"/>
        <v>0.27272727272727271</v>
      </c>
      <c r="I76" s="5">
        <f t="shared" si="10"/>
        <v>3.4090909090909092</v>
      </c>
      <c r="J76" s="5"/>
      <c r="K76" s="5"/>
    </row>
    <row r="77" spans="1:11" x14ac:dyDescent="0.25">
      <c r="A77" s="5">
        <v>150</v>
      </c>
      <c r="B77" s="5">
        <v>600</v>
      </c>
      <c r="C77" s="5">
        <v>80</v>
      </c>
      <c r="D77" s="5">
        <v>30</v>
      </c>
      <c r="E77" s="5">
        <v>8.2100000000000009</v>
      </c>
      <c r="F77" s="5">
        <v>96.13</v>
      </c>
      <c r="G77" s="5">
        <f t="shared" si="6"/>
        <v>104.16666666666667</v>
      </c>
      <c r="H77" s="3">
        <f t="shared" si="9"/>
        <v>0.25</v>
      </c>
      <c r="I77" s="5">
        <f t="shared" si="10"/>
        <v>3.125</v>
      </c>
      <c r="J77" s="5"/>
      <c r="K77" s="5"/>
    </row>
    <row r="78" spans="1:11" x14ac:dyDescent="0.25">
      <c r="A78" s="5">
        <v>150</v>
      </c>
      <c r="B78" s="5">
        <v>700</v>
      </c>
      <c r="C78" s="5">
        <v>80</v>
      </c>
      <c r="D78" s="5">
        <v>30</v>
      </c>
      <c r="E78" s="5">
        <v>10.27</v>
      </c>
      <c r="F78" s="5">
        <v>95.54</v>
      </c>
      <c r="G78" s="5">
        <f t="shared" si="6"/>
        <v>89.285714285714292</v>
      </c>
      <c r="H78" s="3">
        <f t="shared" si="9"/>
        <v>0.21428571428571427</v>
      </c>
      <c r="I78" s="5">
        <f t="shared" si="10"/>
        <v>2.6785714285714284</v>
      </c>
      <c r="J78" s="5"/>
      <c r="K78" s="5"/>
    </row>
    <row r="79" spans="1:11" x14ac:dyDescent="0.25">
      <c r="A79" s="5">
        <v>150</v>
      </c>
      <c r="B79" s="5">
        <v>800</v>
      </c>
      <c r="C79" s="5">
        <v>80</v>
      </c>
      <c r="D79" s="5">
        <v>30</v>
      </c>
      <c r="E79" s="5">
        <v>12.09</v>
      </c>
      <c r="F79" s="5">
        <v>93.13</v>
      </c>
      <c r="G79" s="5">
        <f t="shared" si="6"/>
        <v>78.125</v>
      </c>
      <c r="H79" s="3">
        <f t="shared" si="9"/>
        <v>0.1875</v>
      </c>
      <c r="I79" s="5">
        <f t="shared" si="10"/>
        <v>2.34375</v>
      </c>
      <c r="J79" s="5"/>
      <c r="K79" s="5"/>
    </row>
    <row r="80" spans="1:11" x14ac:dyDescent="0.25">
      <c r="A80" s="5">
        <v>150</v>
      </c>
      <c r="B80" s="5">
        <v>400</v>
      </c>
      <c r="C80" s="5">
        <v>60</v>
      </c>
      <c r="D80" s="5">
        <v>30</v>
      </c>
      <c r="E80" s="5">
        <v>24.16</v>
      </c>
      <c r="F80" s="5">
        <v>93.16</v>
      </c>
      <c r="G80" s="5">
        <f t="shared" si="6"/>
        <v>208.33333333333334</v>
      </c>
      <c r="H80" s="3">
        <f t="shared" si="9"/>
        <v>0.375</v>
      </c>
      <c r="I80" s="5">
        <f t="shared" si="10"/>
        <v>6.25</v>
      </c>
      <c r="J80" s="5"/>
      <c r="K80" s="5"/>
    </row>
    <row r="81" spans="1:11" x14ac:dyDescent="0.25">
      <c r="A81" s="5">
        <v>150</v>
      </c>
      <c r="B81" s="5">
        <v>400</v>
      </c>
      <c r="C81" s="5">
        <v>70</v>
      </c>
      <c r="D81" s="5">
        <v>30</v>
      </c>
      <c r="E81" s="5">
        <v>10.56</v>
      </c>
      <c r="F81" s="5">
        <v>95.05</v>
      </c>
      <c r="G81" s="5">
        <f t="shared" ref="G81:G96" si="11">1000000*A81/(B81*C81*D81)</f>
        <v>178.57142857142858</v>
      </c>
      <c r="H81" s="3">
        <f t="shared" si="9"/>
        <v>0.375</v>
      </c>
      <c r="I81" s="5">
        <f t="shared" si="10"/>
        <v>5.3571428571428568</v>
      </c>
      <c r="J81" s="5"/>
      <c r="K81" s="5"/>
    </row>
    <row r="82" spans="1:11" x14ac:dyDescent="0.25">
      <c r="A82" s="5">
        <v>150</v>
      </c>
      <c r="B82" s="5">
        <v>400</v>
      </c>
      <c r="C82" s="5">
        <v>90</v>
      </c>
      <c r="D82" s="5">
        <v>30</v>
      </c>
      <c r="E82" s="5">
        <v>7.05</v>
      </c>
      <c r="F82" s="5">
        <v>98.76</v>
      </c>
      <c r="G82" s="5">
        <f t="shared" si="11"/>
        <v>138.88888888888889</v>
      </c>
      <c r="H82" s="3">
        <f t="shared" si="9"/>
        <v>0.375</v>
      </c>
      <c r="I82" s="5">
        <f t="shared" si="10"/>
        <v>4.166666666666667</v>
      </c>
      <c r="J82" s="5"/>
      <c r="K82" s="5"/>
    </row>
    <row r="83" spans="1:11" x14ac:dyDescent="0.25">
      <c r="A83" s="5">
        <v>150</v>
      </c>
      <c r="B83" s="5">
        <v>400</v>
      </c>
      <c r="C83" s="5">
        <v>100</v>
      </c>
      <c r="D83" s="5">
        <v>30</v>
      </c>
      <c r="E83" s="5">
        <v>7.62</v>
      </c>
      <c r="F83" s="5">
        <v>97.87</v>
      </c>
      <c r="G83" s="5">
        <f t="shared" si="11"/>
        <v>125</v>
      </c>
      <c r="H83" s="3">
        <f t="shared" si="9"/>
        <v>0.375</v>
      </c>
      <c r="I83" s="5">
        <f t="shared" si="10"/>
        <v>3.75</v>
      </c>
      <c r="J83" s="5"/>
      <c r="K83" s="5"/>
    </row>
    <row r="84" spans="1:11" x14ac:dyDescent="0.25">
      <c r="A84" s="5">
        <v>150</v>
      </c>
      <c r="B84" s="5">
        <v>600</v>
      </c>
      <c r="C84" s="5">
        <v>60</v>
      </c>
      <c r="D84" s="5">
        <v>30</v>
      </c>
      <c r="E84" s="5">
        <v>6.94</v>
      </c>
      <c r="F84" s="5">
        <v>98.23</v>
      </c>
      <c r="G84" s="5">
        <f t="shared" si="11"/>
        <v>138.88888888888889</v>
      </c>
      <c r="H84" s="3">
        <f t="shared" si="9"/>
        <v>0.25</v>
      </c>
      <c r="I84" s="5">
        <f t="shared" si="10"/>
        <v>4.166666666666667</v>
      </c>
      <c r="J84" s="5"/>
      <c r="K84" s="5"/>
    </row>
    <row r="85" spans="1:11" x14ac:dyDescent="0.25">
      <c r="A85" s="5">
        <v>150</v>
      </c>
      <c r="B85" s="5">
        <v>600</v>
      </c>
      <c r="C85" s="5">
        <v>70</v>
      </c>
      <c r="D85" s="5">
        <v>30</v>
      </c>
      <c r="E85" s="5">
        <v>7.52</v>
      </c>
      <c r="F85" s="5">
        <v>96.64</v>
      </c>
      <c r="G85" s="5">
        <f t="shared" si="11"/>
        <v>119.04761904761905</v>
      </c>
      <c r="H85" s="3">
        <f t="shared" si="9"/>
        <v>0.25</v>
      </c>
      <c r="I85" s="5">
        <f t="shared" si="10"/>
        <v>3.5714285714285716</v>
      </c>
      <c r="J85" s="5"/>
      <c r="K85" s="5"/>
    </row>
    <row r="86" spans="1:11" x14ac:dyDescent="0.25">
      <c r="A86" s="5">
        <v>150</v>
      </c>
      <c r="B86" s="5">
        <v>600</v>
      </c>
      <c r="C86" s="5">
        <v>90</v>
      </c>
      <c r="D86" s="5">
        <v>30</v>
      </c>
      <c r="E86" s="5">
        <v>9.74</v>
      </c>
      <c r="F86" s="5">
        <v>95.56</v>
      </c>
      <c r="G86" s="5">
        <f t="shared" si="11"/>
        <v>92.592592592592595</v>
      </c>
      <c r="H86" s="3">
        <f t="shared" si="9"/>
        <v>0.25</v>
      </c>
      <c r="I86" s="5">
        <f t="shared" si="10"/>
        <v>2.7777777777777777</v>
      </c>
      <c r="J86" s="5"/>
      <c r="K86" s="5"/>
    </row>
    <row r="87" spans="1:11" x14ac:dyDescent="0.25">
      <c r="A87" s="5">
        <v>150</v>
      </c>
      <c r="B87" s="5">
        <v>600</v>
      </c>
      <c r="C87" s="5">
        <v>100</v>
      </c>
      <c r="D87" s="5">
        <v>30</v>
      </c>
      <c r="E87" s="5">
        <v>13.23</v>
      </c>
      <c r="F87" s="5">
        <v>94.26</v>
      </c>
      <c r="G87" s="5">
        <f t="shared" si="11"/>
        <v>83.333333333333329</v>
      </c>
      <c r="H87" s="3">
        <f t="shared" si="9"/>
        <v>0.25</v>
      </c>
      <c r="I87" s="5">
        <f t="shared" si="10"/>
        <v>2.5</v>
      </c>
      <c r="J87" s="5"/>
      <c r="K87" s="5"/>
    </row>
    <row r="88" spans="1:11" x14ac:dyDescent="0.25">
      <c r="A88" s="5">
        <v>370</v>
      </c>
      <c r="B88" s="5">
        <v>900</v>
      </c>
      <c r="C88" s="5">
        <v>100</v>
      </c>
      <c r="D88" s="5">
        <v>50</v>
      </c>
      <c r="E88" s="5">
        <v>5.71</v>
      </c>
      <c r="F88" s="5"/>
      <c r="G88" s="5">
        <f t="shared" si="11"/>
        <v>82.222222222222229</v>
      </c>
      <c r="H88" s="3">
        <f t="shared" si="9"/>
        <v>0.41111111111111109</v>
      </c>
      <c r="I88" s="5">
        <f t="shared" si="10"/>
        <v>4.1111111111111107</v>
      </c>
      <c r="J88" s="5"/>
      <c r="K88" s="5"/>
    </row>
    <row r="89" spans="1:11" x14ac:dyDescent="0.25">
      <c r="A89" s="5">
        <v>370</v>
      </c>
      <c r="B89" s="5">
        <v>1300</v>
      </c>
      <c r="C89" s="5">
        <v>100</v>
      </c>
      <c r="D89" s="5">
        <v>50</v>
      </c>
      <c r="E89" s="5">
        <v>13.42</v>
      </c>
      <c r="F89" s="5"/>
      <c r="G89" s="5">
        <f t="shared" si="11"/>
        <v>56.92307692307692</v>
      </c>
      <c r="H89" s="3">
        <f t="shared" si="9"/>
        <v>0.2846153846153846</v>
      </c>
      <c r="I89" s="5">
        <f t="shared" si="10"/>
        <v>2.8461538461538463</v>
      </c>
      <c r="J89" s="5"/>
      <c r="K89" s="5"/>
    </row>
    <row r="90" spans="1:11" x14ac:dyDescent="0.25">
      <c r="A90" s="5">
        <v>370</v>
      </c>
      <c r="B90" s="5">
        <v>1100</v>
      </c>
      <c r="C90" s="5">
        <v>100</v>
      </c>
      <c r="D90" s="5">
        <v>40</v>
      </c>
      <c r="E90" s="5">
        <v>9.6300000000000008</v>
      </c>
      <c r="F90" s="5"/>
      <c r="G90" s="5">
        <f t="shared" si="11"/>
        <v>84.090909090909093</v>
      </c>
      <c r="H90" s="3">
        <f t="shared" si="9"/>
        <v>0.33636363636363636</v>
      </c>
      <c r="I90" s="5">
        <f t="shared" si="10"/>
        <v>3.3636363636363638</v>
      </c>
      <c r="J90" s="5"/>
      <c r="K90" s="5"/>
    </row>
    <row r="91" spans="1:11" x14ac:dyDescent="0.25">
      <c r="A91" s="5">
        <v>370</v>
      </c>
      <c r="B91" s="5">
        <v>1100</v>
      </c>
      <c r="C91" s="5">
        <v>100</v>
      </c>
      <c r="D91" s="5">
        <v>50</v>
      </c>
      <c r="E91" s="5">
        <v>11.11</v>
      </c>
      <c r="F91" s="5"/>
      <c r="G91" s="5">
        <f t="shared" si="11"/>
        <v>67.272727272727266</v>
      </c>
      <c r="H91" s="3">
        <f t="shared" si="9"/>
        <v>0.33636363636363636</v>
      </c>
      <c r="I91" s="5">
        <f t="shared" si="10"/>
        <v>3.3636363636363638</v>
      </c>
      <c r="J91" s="5"/>
      <c r="K91" s="5"/>
    </row>
    <row r="92" spans="1:11" x14ac:dyDescent="0.25">
      <c r="A92" s="5">
        <v>370</v>
      </c>
      <c r="B92" s="5">
        <v>1100</v>
      </c>
      <c r="C92" s="5">
        <v>100</v>
      </c>
      <c r="D92" s="5">
        <v>60</v>
      </c>
      <c r="E92" s="5">
        <v>10</v>
      </c>
      <c r="F92" s="5"/>
      <c r="G92" s="5">
        <f t="shared" si="11"/>
        <v>56.060606060606062</v>
      </c>
      <c r="H92" s="3">
        <f t="shared" si="9"/>
        <v>0.33636363636363636</v>
      </c>
      <c r="I92" s="5">
        <f t="shared" si="10"/>
        <v>3.3636363636363638</v>
      </c>
      <c r="J92" s="5"/>
      <c r="K92" s="5"/>
    </row>
    <row r="93" spans="1:11" x14ac:dyDescent="0.25">
      <c r="A93" s="5">
        <v>370</v>
      </c>
      <c r="B93" s="5">
        <v>1100</v>
      </c>
      <c r="C93" s="5">
        <v>90</v>
      </c>
      <c r="D93" s="5">
        <v>50</v>
      </c>
      <c r="E93" s="5">
        <v>9.11</v>
      </c>
      <c r="F93" s="5"/>
      <c r="G93" s="5">
        <f t="shared" si="11"/>
        <v>74.747474747474755</v>
      </c>
      <c r="H93" s="3">
        <f t="shared" si="9"/>
        <v>0.33636363636363636</v>
      </c>
      <c r="I93" s="5">
        <f t="shared" si="10"/>
        <v>3.7373737373737375</v>
      </c>
      <c r="J93" s="5"/>
      <c r="K93" s="5"/>
    </row>
    <row r="94" spans="1:11" x14ac:dyDescent="0.25">
      <c r="A94" s="5">
        <v>370</v>
      </c>
      <c r="B94" s="5">
        <v>1100</v>
      </c>
      <c r="C94" s="5">
        <v>110</v>
      </c>
      <c r="D94" s="5">
        <v>50</v>
      </c>
      <c r="E94" s="5">
        <v>12.45</v>
      </c>
      <c r="F94" s="5"/>
      <c r="G94" s="5">
        <f t="shared" si="11"/>
        <v>61.15702479338843</v>
      </c>
      <c r="H94" s="3">
        <f t="shared" si="9"/>
        <v>0.33636363636363636</v>
      </c>
      <c r="I94" s="5">
        <f t="shared" si="10"/>
        <v>3.0578512396694215</v>
      </c>
      <c r="J94" s="5"/>
      <c r="K94" s="5"/>
    </row>
    <row r="95" spans="1:11" x14ac:dyDescent="0.25">
      <c r="A95" s="6">
        <v>150</v>
      </c>
      <c r="B95" s="6">
        <v>710</v>
      </c>
      <c r="C95" s="6">
        <v>111</v>
      </c>
      <c r="D95" s="6">
        <v>30</v>
      </c>
      <c r="E95" s="6">
        <v>3.89</v>
      </c>
      <c r="F95" s="6"/>
      <c r="G95" s="5">
        <f t="shared" si="11"/>
        <v>63.443725415556401</v>
      </c>
      <c r="H95" s="3">
        <f t="shared" si="9"/>
        <v>0.21126760563380281</v>
      </c>
      <c r="I95" s="5">
        <f t="shared" si="10"/>
        <v>1.903311762466692</v>
      </c>
      <c r="J95" s="5"/>
    </row>
    <row r="96" spans="1:11" x14ac:dyDescent="0.25">
      <c r="A96" s="6">
        <v>150</v>
      </c>
      <c r="B96" s="6">
        <v>770</v>
      </c>
      <c r="C96" s="6">
        <v>117</v>
      </c>
      <c r="D96" s="6">
        <v>30</v>
      </c>
      <c r="E96" s="6">
        <v>4.25</v>
      </c>
      <c r="F96" s="6"/>
      <c r="G96" s="5">
        <f t="shared" si="11"/>
        <v>55.500055500055502</v>
      </c>
      <c r="H96" s="3">
        <f t="shared" si="9"/>
        <v>0.19480519480519481</v>
      </c>
      <c r="I96" s="5">
        <f t="shared" si="10"/>
        <v>1.665001665001665</v>
      </c>
      <c r="J96" s="5"/>
    </row>
    <row r="97" spans="1:11" x14ac:dyDescent="0.25">
      <c r="A97" s="6">
        <v>150</v>
      </c>
      <c r="B97" s="6">
        <v>890</v>
      </c>
      <c r="C97" s="6">
        <v>129</v>
      </c>
      <c r="D97" s="6">
        <v>30</v>
      </c>
      <c r="E97" s="6">
        <v>4.43</v>
      </c>
      <c r="F97" s="6"/>
      <c r="G97" s="5">
        <f t="shared" ref="G97:G115" si="12">1000000*A97/(B97*C97*D97)</f>
        <v>43.550213396045642</v>
      </c>
      <c r="H97" s="3">
        <f t="shared" ref="H97:H130" si="13">A97/B97</f>
        <v>0.16853932584269662</v>
      </c>
      <c r="I97" s="5">
        <f t="shared" ref="I97:I130" si="14">1000*A97/(B97*C97)</f>
        <v>1.3065064018813692</v>
      </c>
      <c r="J97" s="5"/>
    </row>
    <row r="98" spans="1:11" x14ac:dyDescent="0.25">
      <c r="A98" s="6">
        <v>185</v>
      </c>
      <c r="B98" s="6">
        <v>710</v>
      </c>
      <c r="C98" s="6">
        <v>111</v>
      </c>
      <c r="D98" s="6">
        <v>30</v>
      </c>
      <c r="E98" s="6">
        <v>5.9</v>
      </c>
      <c r="F98" s="6"/>
      <c r="G98" s="5">
        <f t="shared" si="12"/>
        <v>78.247261345852891</v>
      </c>
      <c r="H98" s="3">
        <f t="shared" si="13"/>
        <v>0.26056338028169013</v>
      </c>
      <c r="I98" s="5">
        <f t="shared" si="14"/>
        <v>2.347417840375587</v>
      </c>
      <c r="J98" s="5"/>
    </row>
    <row r="99" spans="1:11" x14ac:dyDescent="0.25">
      <c r="A99" s="6">
        <v>185</v>
      </c>
      <c r="B99" s="6">
        <v>770</v>
      </c>
      <c r="C99" s="6">
        <v>117</v>
      </c>
      <c r="D99" s="6">
        <v>30</v>
      </c>
      <c r="E99" s="6">
        <v>7.72</v>
      </c>
      <c r="F99" s="6"/>
      <c r="G99" s="5">
        <f t="shared" si="12"/>
        <v>68.450068450068457</v>
      </c>
      <c r="H99" s="3">
        <f t="shared" si="13"/>
        <v>0.24025974025974026</v>
      </c>
      <c r="I99" s="5">
        <f t="shared" si="14"/>
        <v>2.0535020535020534</v>
      </c>
      <c r="J99" s="5"/>
    </row>
    <row r="100" spans="1:11" x14ac:dyDescent="0.25">
      <c r="A100" s="6">
        <v>185</v>
      </c>
      <c r="B100" s="6">
        <v>830</v>
      </c>
      <c r="C100" s="6">
        <v>123</v>
      </c>
      <c r="D100" s="6">
        <v>30</v>
      </c>
      <c r="E100" s="6">
        <v>4.4000000000000004</v>
      </c>
      <c r="F100" s="6"/>
      <c r="G100" s="5">
        <f t="shared" si="12"/>
        <v>60.404218500016327</v>
      </c>
      <c r="H100" s="3">
        <f t="shared" si="13"/>
        <v>0.22289156626506024</v>
      </c>
      <c r="I100" s="5">
        <f t="shared" si="14"/>
        <v>1.8121265550004897</v>
      </c>
      <c r="J100" s="5"/>
    </row>
    <row r="101" spans="1:11" x14ac:dyDescent="0.25">
      <c r="A101" s="6">
        <v>185</v>
      </c>
      <c r="B101" s="6">
        <v>890</v>
      </c>
      <c r="C101" s="6">
        <v>129</v>
      </c>
      <c r="D101" s="6">
        <v>30</v>
      </c>
      <c r="E101" s="6">
        <v>3.35</v>
      </c>
      <c r="F101" s="6"/>
      <c r="G101" s="5">
        <f t="shared" si="12"/>
        <v>53.711929855122953</v>
      </c>
      <c r="H101" s="3">
        <f t="shared" si="13"/>
        <v>0.20786516853932585</v>
      </c>
      <c r="I101" s="5">
        <f t="shared" si="14"/>
        <v>1.6113578956536887</v>
      </c>
      <c r="J101" s="5"/>
    </row>
    <row r="102" spans="1:11" x14ac:dyDescent="0.25">
      <c r="A102" s="6">
        <v>220</v>
      </c>
      <c r="B102" s="6">
        <v>710</v>
      </c>
      <c r="C102" s="6">
        <v>117</v>
      </c>
      <c r="D102" s="6">
        <v>30</v>
      </c>
      <c r="E102" s="6">
        <v>6.02</v>
      </c>
      <c r="F102" s="6"/>
      <c r="G102" s="5">
        <f t="shared" si="12"/>
        <v>88.278961518398134</v>
      </c>
      <c r="H102" s="3">
        <f t="shared" si="13"/>
        <v>0.30985915492957744</v>
      </c>
      <c r="I102" s="5">
        <f t="shared" si="14"/>
        <v>2.6483688455519441</v>
      </c>
      <c r="J102" s="5"/>
      <c r="K102" s="5"/>
    </row>
    <row r="103" spans="1:11" x14ac:dyDescent="0.25">
      <c r="A103" s="6">
        <v>220</v>
      </c>
      <c r="B103" s="6">
        <v>770</v>
      </c>
      <c r="C103" s="6">
        <v>111</v>
      </c>
      <c r="D103" s="6">
        <v>30</v>
      </c>
      <c r="E103" s="6">
        <v>10.54</v>
      </c>
      <c r="F103" s="6"/>
      <c r="G103" s="5">
        <f t="shared" si="12"/>
        <v>85.800085800085796</v>
      </c>
      <c r="H103" s="3">
        <f t="shared" si="13"/>
        <v>0.2857142857142857</v>
      </c>
      <c r="I103" s="5">
        <f t="shared" si="14"/>
        <v>2.574002574002574</v>
      </c>
      <c r="J103" s="5"/>
      <c r="K103" s="5"/>
    </row>
    <row r="104" spans="1:11" x14ac:dyDescent="0.25">
      <c r="A104" s="6">
        <v>220</v>
      </c>
      <c r="B104" s="6">
        <v>830</v>
      </c>
      <c r="C104" s="6">
        <v>129</v>
      </c>
      <c r="D104" s="6">
        <v>30</v>
      </c>
      <c r="E104" s="6">
        <v>6.87</v>
      </c>
      <c r="F104" s="6"/>
      <c r="G104" s="5">
        <f t="shared" si="12"/>
        <v>68.491018336913541</v>
      </c>
      <c r="H104" s="3">
        <f t="shared" si="13"/>
        <v>0.26506024096385544</v>
      </c>
      <c r="I104" s="5">
        <f t="shared" si="14"/>
        <v>2.0547305501074065</v>
      </c>
      <c r="J104" s="5"/>
      <c r="K104" s="5"/>
    </row>
    <row r="105" spans="1:11" x14ac:dyDescent="0.25">
      <c r="A105" s="6">
        <v>220</v>
      </c>
      <c r="B105" s="6">
        <v>890</v>
      </c>
      <c r="C105" s="6">
        <v>123</v>
      </c>
      <c r="D105" s="6">
        <v>30</v>
      </c>
      <c r="E105" s="6">
        <v>4.82</v>
      </c>
      <c r="F105" s="6"/>
      <c r="G105" s="5">
        <f t="shared" si="12"/>
        <v>66.989433939283217</v>
      </c>
      <c r="H105" s="3">
        <f t="shared" si="13"/>
        <v>0.24719101123595505</v>
      </c>
      <c r="I105" s="5">
        <f t="shared" si="14"/>
        <v>2.0096830181784964</v>
      </c>
      <c r="J105" s="5"/>
      <c r="K105" s="5"/>
    </row>
    <row r="106" spans="1:11" x14ac:dyDescent="0.25">
      <c r="A106" s="6">
        <v>255</v>
      </c>
      <c r="B106" s="6">
        <v>710</v>
      </c>
      <c r="C106" s="6">
        <v>117</v>
      </c>
      <c r="D106" s="6">
        <v>30</v>
      </c>
      <c r="E106" s="6">
        <v>11.53</v>
      </c>
      <c r="F106" s="6"/>
      <c r="G106" s="5">
        <f t="shared" si="12"/>
        <v>102.32334175996148</v>
      </c>
      <c r="H106" s="3">
        <f t="shared" si="13"/>
        <v>0.35915492957746481</v>
      </c>
      <c r="I106" s="5">
        <f t="shared" si="14"/>
        <v>3.0697002527988442</v>
      </c>
      <c r="J106" s="5"/>
      <c r="K106" s="5"/>
    </row>
    <row r="107" spans="1:11" x14ac:dyDescent="0.25">
      <c r="A107" s="6">
        <v>255</v>
      </c>
      <c r="B107" s="6">
        <v>770</v>
      </c>
      <c r="C107" s="6">
        <v>111</v>
      </c>
      <c r="D107" s="6">
        <v>30</v>
      </c>
      <c r="E107" s="6">
        <v>11.41</v>
      </c>
      <c r="F107" s="6"/>
      <c r="G107" s="5">
        <f t="shared" si="12"/>
        <v>99.450099450099444</v>
      </c>
      <c r="H107" s="3">
        <f t="shared" si="13"/>
        <v>0.33116883116883117</v>
      </c>
      <c r="I107" s="5">
        <f t="shared" si="14"/>
        <v>2.9835029835029836</v>
      </c>
      <c r="J107" s="5"/>
      <c r="K107" s="5"/>
    </row>
    <row r="108" spans="1:11" x14ac:dyDescent="0.25">
      <c r="A108" s="6">
        <v>255</v>
      </c>
      <c r="B108" s="6">
        <v>830</v>
      </c>
      <c r="C108" s="6">
        <v>129</v>
      </c>
      <c r="D108" s="6">
        <v>30</v>
      </c>
      <c r="E108" s="6">
        <v>19.07</v>
      </c>
      <c r="F108" s="6"/>
      <c r="G108" s="5">
        <f t="shared" si="12"/>
        <v>79.387316708695252</v>
      </c>
      <c r="H108" s="3">
        <f t="shared" si="13"/>
        <v>0.30722891566265059</v>
      </c>
      <c r="I108" s="5">
        <f t="shared" si="14"/>
        <v>2.3816195012608574</v>
      </c>
      <c r="J108" s="5"/>
      <c r="K108" s="5"/>
    </row>
    <row r="109" spans="1:11" x14ac:dyDescent="0.25">
      <c r="A109" s="6">
        <v>255</v>
      </c>
      <c r="B109" s="6">
        <v>890</v>
      </c>
      <c r="C109" s="6">
        <v>123</v>
      </c>
      <c r="D109" s="6">
        <v>30</v>
      </c>
      <c r="E109" s="6">
        <v>9.9600000000000009</v>
      </c>
      <c r="F109" s="6"/>
      <c r="G109" s="5">
        <f t="shared" si="12"/>
        <v>77.646843884169172</v>
      </c>
      <c r="H109" s="3">
        <f t="shared" si="13"/>
        <v>0.28651685393258425</v>
      </c>
      <c r="I109" s="5">
        <f t="shared" si="14"/>
        <v>2.3294053165250754</v>
      </c>
      <c r="J109" s="5"/>
      <c r="K109" s="5"/>
    </row>
    <row r="110" spans="1:11" x14ac:dyDescent="0.25">
      <c r="A110" s="7">
        <v>250</v>
      </c>
      <c r="B110" s="7">
        <v>700</v>
      </c>
      <c r="C110" s="7">
        <v>80</v>
      </c>
      <c r="D110" s="7">
        <v>60</v>
      </c>
      <c r="E110" s="7">
        <v>7.16</v>
      </c>
      <c r="F110" s="5"/>
      <c r="G110" s="5">
        <f t="shared" si="12"/>
        <v>74.404761904761898</v>
      </c>
      <c r="H110" s="3">
        <f t="shared" si="13"/>
        <v>0.35714285714285715</v>
      </c>
      <c r="I110" s="5">
        <f t="shared" si="14"/>
        <v>4.4642857142857144</v>
      </c>
      <c r="J110" s="8"/>
      <c r="K110" s="5"/>
    </row>
    <row r="111" spans="1:11" x14ac:dyDescent="0.25">
      <c r="A111" s="7">
        <v>300</v>
      </c>
      <c r="B111" s="7">
        <v>700</v>
      </c>
      <c r="C111" s="7">
        <v>90</v>
      </c>
      <c r="D111" s="7">
        <v>60</v>
      </c>
      <c r="E111" s="7">
        <v>6.65</v>
      </c>
      <c r="F111" s="5"/>
      <c r="G111" s="5">
        <f t="shared" si="12"/>
        <v>79.365079365079367</v>
      </c>
      <c r="H111" s="3">
        <f t="shared" si="13"/>
        <v>0.42857142857142855</v>
      </c>
      <c r="I111" s="5">
        <f t="shared" si="14"/>
        <v>4.7619047619047619</v>
      </c>
      <c r="J111" s="8"/>
      <c r="K111" s="5"/>
    </row>
    <row r="112" spans="1:11" x14ac:dyDescent="0.25">
      <c r="A112" s="7">
        <v>350</v>
      </c>
      <c r="B112" s="7">
        <v>700</v>
      </c>
      <c r="C112" s="7">
        <v>100</v>
      </c>
      <c r="D112" s="7">
        <v>60</v>
      </c>
      <c r="E112" s="7">
        <v>7.27</v>
      </c>
      <c r="F112" s="5"/>
      <c r="G112" s="5">
        <f t="shared" si="12"/>
        <v>83.333333333333329</v>
      </c>
      <c r="H112" s="3">
        <f t="shared" si="13"/>
        <v>0.5</v>
      </c>
      <c r="I112" s="5">
        <f t="shared" si="14"/>
        <v>5</v>
      </c>
      <c r="J112" s="8"/>
      <c r="K112" s="5"/>
    </row>
    <row r="113" spans="1:11" x14ac:dyDescent="0.25">
      <c r="A113" s="7">
        <v>250</v>
      </c>
      <c r="B113" s="7">
        <v>900</v>
      </c>
      <c r="C113" s="7">
        <v>90</v>
      </c>
      <c r="D113" s="7">
        <v>60</v>
      </c>
      <c r="E113" s="7">
        <v>9.5299999999999994</v>
      </c>
      <c r="F113" s="5"/>
      <c r="G113" s="5">
        <f t="shared" si="12"/>
        <v>51.440329218106996</v>
      </c>
      <c r="H113" s="3">
        <f t="shared" si="13"/>
        <v>0.27777777777777779</v>
      </c>
      <c r="I113" s="5">
        <f t="shared" si="14"/>
        <v>3.0864197530864197</v>
      </c>
      <c r="J113" s="8"/>
      <c r="K113" s="5"/>
    </row>
    <row r="114" spans="1:11" x14ac:dyDescent="0.25">
      <c r="A114" s="7">
        <v>300</v>
      </c>
      <c r="B114" s="7">
        <v>900</v>
      </c>
      <c r="C114" s="7">
        <v>100</v>
      </c>
      <c r="D114" s="7">
        <v>60</v>
      </c>
      <c r="E114" s="7">
        <v>10.91</v>
      </c>
      <c r="F114" s="5"/>
      <c r="G114" s="5">
        <f t="shared" si="12"/>
        <v>55.555555555555557</v>
      </c>
      <c r="H114" s="3">
        <f t="shared" si="13"/>
        <v>0.33333333333333331</v>
      </c>
      <c r="I114" s="5">
        <f t="shared" si="14"/>
        <v>3.3333333333333335</v>
      </c>
      <c r="J114" s="8"/>
      <c r="K114" s="5"/>
    </row>
    <row r="115" spans="1:11" x14ac:dyDescent="0.25">
      <c r="A115" s="7">
        <v>350</v>
      </c>
      <c r="B115" s="7">
        <v>900</v>
      </c>
      <c r="C115" s="7">
        <v>80</v>
      </c>
      <c r="D115" s="7">
        <v>60</v>
      </c>
      <c r="E115" s="7">
        <v>7.69</v>
      </c>
      <c r="F115" s="5"/>
      <c r="G115" s="5">
        <f t="shared" si="12"/>
        <v>81.018518518518519</v>
      </c>
      <c r="H115" s="3">
        <f t="shared" si="13"/>
        <v>0.3888888888888889</v>
      </c>
      <c r="I115" s="5">
        <f t="shared" si="14"/>
        <v>4.8611111111111107</v>
      </c>
      <c r="J115" s="8"/>
      <c r="K115" s="5"/>
    </row>
    <row r="116" spans="1:11" x14ac:dyDescent="0.25">
      <c r="A116" s="7">
        <v>250</v>
      </c>
      <c r="B116" s="7">
        <v>1100</v>
      </c>
      <c r="C116" s="7">
        <v>100</v>
      </c>
      <c r="D116" s="7">
        <v>60</v>
      </c>
      <c r="E116" s="7">
        <v>10.44</v>
      </c>
      <c r="F116" s="5"/>
      <c r="G116" s="5">
        <f>45.33</f>
        <v>45.33</v>
      </c>
      <c r="H116" s="3">
        <f t="shared" si="13"/>
        <v>0.22727272727272727</v>
      </c>
      <c r="I116" s="5">
        <f t="shared" si="14"/>
        <v>2.2727272727272729</v>
      </c>
      <c r="J116" s="8"/>
      <c r="K116" s="5"/>
    </row>
    <row r="117" spans="1:11" x14ac:dyDescent="0.25">
      <c r="A117" s="7">
        <v>300</v>
      </c>
      <c r="B117" s="7">
        <v>1100</v>
      </c>
      <c r="C117" s="7">
        <v>80</v>
      </c>
      <c r="D117" s="7">
        <v>60</v>
      </c>
      <c r="E117" s="7">
        <v>8.5299999999999994</v>
      </c>
      <c r="F117" s="5"/>
      <c r="G117" s="5">
        <f t="shared" ref="G117:G130" si="15">1000000*A117/(B117*C117*D117)</f>
        <v>56.81818181818182</v>
      </c>
      <c r="H117" s="3">
        <f t="shared" si="13"/>
        <v>0.27272727272727271</v>
      </c>
      <c r="I117" s="5">
        <f t="shared" si="14"/>
        <v>3.4090909090909092</v>
      </c>
      <c r="J117" s="5"/>
      <c r="K117" s="5"/>
    </row>
    <row r="118" spans="1:11" x14ac:dyDescent="0.25">
      <c r="A118" s="7">
        <v>350</v>
      </c>
      <c r="B118" s="7">
        <v>1100</v>
      </c>
      <c r="C118" s="7">
        <v>90</v>
      </c>
      <c r="D118" s="7">
        <v>60</v>
      </c>
      <c r="E118" s="7">
        <v>10.7</v>
      </c>
      <c r="F118" s="5"/>
      <c r="G118" s="5">
        <f t="shared" si="15"/>
        <v>58.92255892255892</v>
      </c>
      <c r="H118" s="3">
        <f t="shared" si="13"/>
        <v>0.31818181818181818</v>
      </c>
      <c r="I118" s="5">
        <f t="shared" si="14"/>
        <v>3.5353535353535355</v>
      </c>
      <c r="J118" s="5"/>
      <c r="K118" s="8"/>
    </row>
    <row r="119" spans="1:11" x14ac:dyDescent="0.25">
      <c r="A119" s="6">
        <v>120</v>
      </c>
      <c r="B119" s="6">
        <v>250</v>
      </c>
      <c r="C119" s="6">
        <v>80</v>
      </c>
      <c r="D119" s="6">
        <v>50</v>
      </c>
      <c r="E119" s="6">
        <v>9.92</v>
      </c>
      <c r="F119" s="6"/>
      <c r="G119" s="5">
        <f t="shared" si="15"/>
        <v>120</v>
      </c>
      <c r="H119" s="3">
        <f t="shared" si="13"/>
        <v>0.48</v>
      </c>
      <c r="I119" s="5">
        <f t="shared" si="14"/>
        <v>6</v>
      </c>
      <c r="J119" s="5"/>
      <c r="K119" s="8"/>
    </row>
    <row r="120" spans="1:11" x14ac:dyDescent="0.25">
      <c r="A120" s="6">
        <v>120</v>
      </c>
      <c r="B120" s="6">
        <v>510</v>
      </c>
      <c r="C120" s="6">
        <v>100</v>
      </c>
      <c r="D120" s="6">
        <v>50</v>
      </c>
      <c r="E120" s="6">
        <v>11.53</v>
      </c>
      <c r="F120" s="6"/>
      <c r="G120" s="5">
        <f t="shared" si="15"/>
        <v>47.058823529411768</v>
      </c>
      <c r="H120" s="3">
        <f t="shared" si="13"/>
        <v>0.23529411764705882</v>
      </c>
      <c r="I120" s="5">
        <f t="shared" si="14"/>
        <v>2.3529411764705883</v>
      </c>
      <c r="J120" s="5"/>
      <c r="K120" s="8"/>
    </row>
    <row r="121" spans="1:11" x14ac:dyDescent="0.25">
      <c r="A121" s="6">
        <v>120</v>
      </c>
      <c r="B121" s="6">
        <v>760</v>
      </c>
      <c r="C121" s="6">
        <v>120</v>
      </c>
      <c r="D121" s="6">
        <v>50</v>
      </c>
      <c r="E121" s="6">
        <v>10.130000000000001</v>
      </c>
      <c r="F121" s="6"/>
      <c r="G121" s="5">
        <f t="shared" si="15"/>
        <v>26.315789473684209</v>
      </c>
      <c r="H121" s="3">
        <f t="shared" si="13"/>
        <v>0.15789473684210525</v>
      </c>
      <c r="I121" s="5">
        <f t="shared" si="14"/>
        <v>1.3157894736842106</v>
      </c>
      <c r="J121" s="5"/>
      <c r="K121" s="8"/>
    </row>
    <row r="122" spans="1:11" x14ac:dyDescent="0.25">
      <c r="A122" s="6">
        <v>120</v>
      </c>
      <c r="B122" s="6">
        <v>900</v>
      </c>
      <c r="C122" s="6">
        <v>140</v>
      </c>
      <c r="D122" s="6">
        <v>50</v>
      </c>
      <c r="E122" s="6">
        <v>10.11</v>
      </c>
      <c r="F122" s="6"/>
      <c r="G122" s="5">
        <f t="shared" si="15"/>
        <v>19.047619047619047</v>
      </c>
      <c r="H122" s="3">
        <f t="shared" si="13"/>
        <v>0.13333333333333333</v>
      </c>
      <c r="I122" s="5">
        <f t="shared" si="14"/>
        <v>0.95238095238095233</v>
      </c>
      <c r="J122" s="5"/>
      <c r="K122" s="8"/>
    </row>
    <row r="123" spans="1:11" x14ac:dyDescent="0.25">
      <c r="A123" s="6">
        <v>200</v>
      </c>
      <c r="B123" s="6">
        <v>250</v>
      </c>
      <c r="C123" s="6">
        <v>100</v>
      </c>
      <c r="D123" s="6">
        <v>50</v>
      </c>
      <c r="E123" s="6">
        <v>12.97</v>
      </c>
      <c r="F123" s="6"/>
      <c r="G123" s="5">
        <f t="shared" si="15"/>
        <v>160</v>
      </c>
      <c r="H123" s="3">
        <f t="shared" si="13"/>
        <v>0.8</v>
      </c>
      <c r="I123" s="5">
        <f t="shared" si="14"/>
        <v>8</v>
      </c>
      <c r="J123" s="5"/>
      <c r="K123" s="8"/>
    </row>
    <row r="124" spans="1:11" x14ac:dyDescent="0.25">
      <c r="A124" s="6">
        <v>200</v>
      </c>
      <c r="B124" s="6">
        <v>510</v>
      </c>
      <c r="C124" s="6">
        <v>80</v>
      </c>
      <c r="D124" s="6">
        <v>50</v>
      </c>
      <c r="E124" s="6">
        <v>12.5</v>
      </c>
      <c r="F124" s="6"/>
      <c r="G124" s="5">
        <f t="shared" si="15"/>
        <v>98.039215686274517</v>
      </c>
      <c r="H124" s="3">
        <f t="shared" si="13"/>
        <v>0.39215686274509803</v>
      </c>
      <c r="I124" s="5">
        <f t="shared" si="14"/>
        <v>4.9019607843137258</v>
      </c>
      <c r="J124" s="5"/>
      <c r="K124" s="8"/>
    </row>
    <row r="125" spans="1:11" x14ac:dyDescent="0.25">
      <c r="A125" s="6">
        <v>200</v>
      </c>
      <c r="B125" s="6">
        <v>760</v>
      </c>
      <c r="C125" s="6">
        <v>140</v>
      </c>
      <c r="D125" s="6">
        <v>50</v>
      </c>
      <c r="E125" s="6">
        <v>11.72</v>
      </c>
      <c r="F125" s="6"/>
      <c r="G125" s="5">
        <f t="shared" si="15"/>
        <v>37.593984962406012</v>
      </c>
      <c r="H125" s="3">
        <f t="shared" si="13"/>
        <v>0.26315789473684209</v>
      </c>
      <c r="I125" s="5">
        <f t="shared" si="14"/>
        <v>1.8796992481203008</v>
      </c>
      <c r="J125" s="5"/>
      <c r="K125" s="8"/>
    </row>
    <row r="126" spans="1:11" x14ac:dyDescent="0.25">
      <c r="A126" s="6">
        <v>200</v>
      </c>
      <c r="B126" s="6">
        <v>900</v>
      </c>
      <c r="C126" s="6">
        <v>120</v>
      </c>
      <c r="D126" s="6">
        <v>50</v>
      </c>
      <c r="E126" s="6">
        <v>11.21</v>
      </c>
      <c r="F126" s="6"/>
      <c r="G126" s="5">
        <f t="shared" si="15"/>
        <v>37.037037037037038</v>
      </c>
      <c r="H126" s="3">
        <f t="shared" si="13"/>
        <v>0.22222222222222221</v>
      </c>
      <c r="I126" s="5">
        <f t="shared" si="14"/>
        <v>1.8518518518518519</v>
      </c>
      <c r="J126" s="5"/>
      <c r="K126" s="8"/>
    </row>
    <row r="127" spans="1:11" x14ac:dyDescent="0.25">
      <c r="A127" s="6">
        <v>275</v>
      </c>
      <c r="B127" s="6">
        <v>250</v>
      </c>
      <c r="C127" s="6">
        <v>120</v>
      </c>
      <c r="D127" s="6">
        <v>50</v>
      </c>
      <c r="E127" s="6">
        <v>18.55</v>
      </c>
      <c r="F127" s="6"/>
      <c r="G127" s="5">
        <f t="shared" si="15"/>
        <v>183.33333333333334</v>
      </c>
      <c r="H127" s="3">
        <f t="shared" si="13"/>
        <v>1.1000000000000001</v>
      </c>
      <c r="I127" s="5">
        <f t="shared" si="14"/>
        <v>9.1666666666666661</v>
      </c>
      <c r="J127" s="5"/>
      <c r="K127" s="8"/>
    </row>
    <row r="128" spans="1:11" x14ac:dyDescent="0.25">
      <c r="A128" s="6">
        <v>275</v>
      </c>
      <c r="B128" s="6">
        <v>510</v>
      </c>
      <c r="C128" s="6">
        <v>140</v>
      </c>
      <c r="D128" s="6">
        <v>50</v>
      </c>
      <c r="E128" s="6">
        <v>20.079999999999998</v>
      </c>
      <c r="F128" s="6"/>
      <c r="G128" s="5">
        <f t="shared" si="15"/>
        <v>77.030812324929968</v>
      </c>
      <c r="H128" s="3">
        <f t="shared" si="13"/>
        <v>0.53921568627450978</v>
      </c>
      <c r="I128" s="5">
        <f t="shared" si="14"/>
        <v>3.8515406162464987</v>
      </c>
      <c r="J128" s="5"/>
      <c r="K128" s="8"/>
    </row>
    <row r="129" spans="1:11" x14ac:dyDescent="0.25">
      <c r="A129" s="6">
        <v>275</v>
      </c>
      <c r="B129" s="6">
        <v>760</v>
      </c>
      <c r="C129" s="6">
        <v>80</v>
      </c>
      <c r="D129" s="6">
        <v>50</v>
      </c>
      <c r="E129" s="6">
        <v>14.43</v>
      </c>
      <c r="F129" s="6"/>
      <c r="G129" s="5">
        <f t="shared" si="15"/>
        <v>90.46052631578948</v>
      </c>
      <c r="H129" s="3">
        <f t="shared" si="13"/>
        <v>0.36184210526315791</v>
      </c>
      <c r="I129" s="5">
        <f t="shared" si="14"/>
        <v>4.5230263157894735</v>
      </c>
      <c r="J129" s="5"/>
      <c r="K129" s="8"/>
    </row>
    <row r="130" spans="1:11" x14ac:dyDescent="0.25">
      <c r="A130" s="6">
        <v>275</v>
      </c>
      <c r="B130" s="6">
        <v>900</v>
      </c>
      <c r="C130" s="6">
        <v>100</v>
      </c>
      <c r="D130" s="6">
        <v>50</v>
      </c>
      <c r="E130" s="6">
        <v>11.3</v>
      </c>
      <c r="F130" s="6"/>
      <c r="G130" s="5">
        <f t="shared" si="15"/>
        <v>61.111111111111114</v>
      </c>
      <c r="H130" s="3">
        <f t="shared" si="13"/>
        <v>0.30555555555555558</v>
      </c>
      <c r="I130" s="5">
        <f t="shared" si="14"/>
        <v>3.0555555555555554</v>
      </c>
      <c r="J130" s="5"/>
      <c r="K130" s="8"/>
    </row>
    <row r="131" spans="1:11" x14ac:dyDescent="0.25">
      <c r="A131" s="6">
        <v>360</v>
      </c>
      <c r="B131" s="6">
        <v>510</v>
      </c>
      <c r="C131" s="6">
        <v>120</v>
      </c>
      <c r="D131" s="6">
        <v>50</v>
      </c>
      <c r="E131" s="6">
        <v>24.06</v>
      </c>
      <c r="F131" s="6"/>
      <c r="G131" s="5">
        <f t="shared" ref="G131:G164" si="16">1000000*A131/(B131*C131*D131)</f>
        <v>117.64705882352941</v>
      </c>
      <c r="H131" s="3">
        <f t="shared" ref="H131:H164" si="17">A131/B131</f>
        <v>0.70588235294117652</v>
      </c>
      <c r="I131" s="5">
        <f t="shared" ref="I131:I164" si="18">1000*A131/(B131*C131)</f>
        <v>5.882352941176471</v>
      </c>
      <c r="J131" s="5"/>
      <c r="K131" s="8"/>
    </row>
    <row r="132" spans="1:11" x14ac:dyDescent="0.25">
      <c r="A132" s="6">
        <v>360</v>
      </c>
      <c r="B132" s="6">
        <v>760</v>
      </c>
      <c r="C132" s="6">
        <v>100</v>
      </c>
      <c r="D132" s="6">
        <v>50</v>
      </c>
      <c r="E132" s="6">
        <v>28.2</v>
      </c>
      <c r="F132" s="6"/>
      <c r="G132" s="5">
        <f t="shared" si="16"/>
        <v>94.736842105263165</v>
      </c>
      <c r="H132" s="3">
        <f t="shared" si="17"/>
        <v>0.47368421052631576</v>
      </c>
      <c r="I132" s="5">
        <f t="shared" si="18"/>
        <v>4.7368421052631575</v>
      </c>
      <c r="J132" s="8"/>
      <c r="K132" s="8"/>
    </row>
    <row r="133" spans="1:11" x14ac:dyDescent="0.25">
      <c r="A133" s="6">
        <v>360</v>
      </c>
      <c r="B133" s="6">
        <v>900</v>
      </c>
      <c r="C133" s="6">
        <v>80</v>
      </c>
      <c r="D133" s="6">
        <v>50</v>
      </c>
      <c r="E133" s="6">
        <v>20.13</v>
      </c>
      <c r="F133" s="6"/>
      <c r="G133" s="5">
        <f t="shared" si="16"/>
        <v>100</v>
      </c>
      <c r="H133" s="3">
        <f t="shared" si="17"/>
        <v>0.4</v>
      </c>
      <c r="I133" s="5">
        <f t="shared" si="18"/>
        <v>5</v>
      </c>
      <c r="J133" s="5"/>
      <c r="K133" s="8"/>
    </row>
    <row r="134" spans="1:11" x14ac:dyDescent="0.25">
      <c r="A134" s="5">
        <v>107</v>
      </c>
      <c r="B134" s="5">
        <v>400</v>
      </c>
      <c r="C134" s="5">
        <v>200</v>
      </c>
      <c r="D134" s="5">
        <v>30</v>
      </c>
      <c r="E134" s="5">
        <v>11.35</v>
      </c>
      <c r="F134" s="5"/>
      <c r="G134" s="5">
        <f t="shared" si="16"/>
        <v>44.583333333333336</v>
      </c>
      <c r="H134" s="3">
        <f t="shared" si="17"/>
        <v>0.26750000000000002</v>
      </c>
      <c r="I134" s="5">
        <f t="shared" si="18"/>
        <v>1.3374999999999999</v>
      </c>
      <c r="J134" s="5"/>
      <c r="K134" s="8"/>
    </row>
    <row r="135" spans="1:11" x14ac:dyDescent="0.25">
      <c r="A135" s="5">
        <v>107</v>
      </c>
      <c r="B135" s="5">
        <v>400</v>
      </c>
      <c r="C135" s="5">
        <v>200</v>
      </c>
      <c r="D135" s="5">
        <v>60</v>
      </c>
      <c r="E135" s="5">
        <v>28.4</v>
      </c>
      <c r="F135" s="5"/>
      <c r="G135" s="5">
        <f t="shared" si="16"/>
        <v>22.291666666666668</v>
      </c>
      <c r="H135" s="3">
        <f t="shared" si="17"/>
        <v>0.26750000000000002</v>
      </c>
      <c r="I135" s="5">
        <f t="shared" si="18"/>
        <v>1.3374999999999999</v>
      </c>
      <c r="J135" s="5"/>
      <c r="K135" s="8"/>
    </row>
    <row r="136" spans="1:11" x14ac:dyDescent="0.25">
      <c r="A136" s="5">
        <v>107</v>
      </c>
      <c r="B136" s="5">
        <v>500</v>
      </c>
      <c r="C136" s="5">
        <v>200</v>
      </c>
      <c r="D136" s="5">
        <v>30</v>
      </c>
      <c r="E136" s="5">
        <v>17.489999999999998</v>
      </c>
      <c r="F136" s="5"/>
      <c r="G136" s="5">
        <f t="shared" si="16"/>
        <v>35.666666666666664</v>
      </c>
      <c r="H136" s="3">
        <f t="shared" si="17"/>
        <v>0.214</v>
      </c>
      <c r="I136" s="5">
        <f t="shared" si="18"/>
        <v>1.07</v>
      </c>
      <c r="J136" s="5"/>
      <c r="K136" s="8"/>
    </row>
    <row r="137" spans="1:11" x14ac:dyDescent="0.25">
      <c r="A137" s="5">
        <v>107</v>
      </c>
      <c r="B137" s="5">
        <v>500</v>
      </c>
      <c r="C137" s="5">
        <v>200</v>
      </c>
      <c r="D137" s="5">
        <v>60</v>
      </c>
      <c r="E137" s="5">
        <v>31.31</v>
      </c>
      <c r="F137" s="5"/>
      <c r="G137" s="5">
        <f t="shared" si="16"/>
        <v>17.833333333333332</v>
      </c>
      <c r="H137" s="3">
        <f t="shared" si="17"/>
        <v>0.214</v>
      </c>
      <c r="I137" s="5">
        <f t="shared" si="18"/>
        <v>1.07</v>
      </c>
      <c r="J137" s="5"/>
      <c r="K137" s="8"/>
    </row>
    <row r="138" spans="1:11" x14ac:dyDescent="0.25">
      <c r="K138" s="8"/>
    </row>
    <row r="148" spans="10:12" x14ac:dyDescent="0.25">
      <c r="K148" s="5"/>
    </row>
    <row r="149" spans="10:12" x14ac:dyDescent="0.25">
      <c r="K149" s="5"/>
    </row>
    <row r="150" spans="10:12" x14ac:dyDescent="0.25">
      <c r="K150" s="5"/>
    </row>
    <row r="151" spans="10:12" x14ac:dyDescent="0.25">
      <c r="K151" s="5"/>
    </row>
    <row r="152" spans="10:12" x14ac:dyDescent="0.25">
      <c r="K152" s="5"/>
    </row>
    <row r="153" spans="10:12" x14ac:dyDescent="0.25">
      <c r="K153" s="5"/>
    </row>
    <row r="154" spans="10:12" x14ac:dyDescent="0.25">
      <c r="K154" s="5"/>
    </row>
    <row r="155" spans="10:12" x14ac:dyDescent="0.25">
      <c r="K155" s="8"/>
      <c r="L155" s="8"/>
    </row>
    <row r="156" spans="10:12" x14ac:dyDescent="0.25">
      <c r="K156" s="5"/>
    </row>
    <row r="157" spans="10:12" x14ac:dyDescent="0.25">
      <c r="K157" s="5"/>
    </row>
    <row r="158" spans="10:12" x14ac:dyDescent="0.25">
      <c r="K158" s="5"/>
    </row>
    <row r="159" spans="10:12" x14ac:dyDescent="0.25">
      <c r="K159" s="5"/>
    </row>
    <row r="160" spans="10:12" x14ac:dyDescent="0.25">
      <c r="J160" s="5"/>
      <c r="K160" s="5"/>
    </row>
    <row r="161" spans="2:11" x14ac:dyDescent="0.25">
      <c r="K161" s="5"/>
    </row>
    <row r="162" spans="2:11" x14ac:dyDescent="0.25">
      <c r="J162" s="5"/>
      <c r="K162" s="5"/>
    </row>
    <row r="163" spans="2:11" x14ac:dyDescent="0.25">
      <c r="J163" s="5"/>
      <c r="K163" s="5"/>
    </row>
    <row r="164" spans="2:11" x14ac:dyDescent="0.25">
      <c r="J164" s="5"/>
    </row>
    <row r="165" spans="2:11" x14ac:dyDescent="0.25">
      <c r="I165" s="5"/>
      <c r="J165" s="5"/>
    </row>
    <row r="166" spans="2:11" x14ac:dyDescent="0.25">
      <c r="I166" s="5"/>
      <c r="J166" s="5"/>
    </row>
    <row r="167" spans="2:11" x14ac:dyDescent="0.25">
      <c r="I167" s="5"/>
      <c r="J167" s="5"/>
    </row>
    <row r="168" spans="2:11" x14ac:dyDescent="0.25">
      <c r="B168" s="5"/>
      <c r="C168" s="5"/>
      <c r="E168" s="5"/>
      <c r="F168" s="5"/>
      <c r="H168" s="5"/>
      <c r="I168" s="5"/>
      <c r="J168" s="5"/>
    </row>
    <row r="169" spans="2:11" x14ac:dyDescent="0.25">
      <c r="B169" s="5"/>
      <c r="C169" s="5"/>
      <c r="E169" s="5"/>
      <c r="F169" s="5"/>
      <c r="H169" s="5"/>
      <c r="I169" s="5"/>
      <c r="J169" s="5"/>
    </row>
    <row r="170" spans="2:11" x14ac:dyDescent="0.25">
      <c r="H170" s="5"/>
      <c r="I170" s="5"/>
    </row>
    <row r="171" spans="2:11" x14ac:dyDescent="0.25">
      <c r="H171" s="5"/>
      <c r="I171" s="5"/>
    </row>
    <row r="172" spans="2:11" x14ac:dyDescent="0.25">
      <c r="H172" s="5"/>
      <c r="I172" s="5"/>
    </row>
    <row r="173" spans="2:11" x14ac:dyDescent="0.25">
      <c r="H173" s="5"/>
      <c r="I173" s="5"/>
    </row>
    <row r="174" spans="2:11" x14ac:dyDescent="0.25">
      <c r="H174" s="5"/>
      <c r="I174" s="5"/>
    </row>
    <row r="175" spans="2:11" x14ac:dyDescent="0.25">
      <c r="H175" s="5"/>
      <c r="I175" s="5"/>
    </row>
    <row r="176" spans="2:11" x14ac:dyDescent="0.25">
      <c r="H176" s="5"/>
      <c r="I176" s="5"/>
    </row>
    <row r="177" spans="2:9" x14ac:dyDescent="0.25">
      <c r="B177" s="5"/>
      <c r="C177" s="5"/>
      <c r="H177" s="5"/>
      <c r="I177" s="5"/>
    </row>
    <row r="178" spans="2:9" x14ac:dyDescent="0.25">
      <c r="B178" s="5"/>
      <c r="C178" s="5"/>
      <c r="H178" s="5"/>
      <c r="I178" s="5"/>
    </row>
    <row r="179" spans="2:9" x14ac:dyDescent="0.25">
      <c r="H179" s="5"/>
      <c r="I179" s="5"/>
    </row>
    <row r="180" spans="2:9" x14ac:dyDescent="0.25">
      <c r="H180" s="5"/>
      <c r="I180" s="5"/>
    </row>
    <row r="181" spans="2:9" x14ac:dyDescent="0.25">
      <c r="H181" s="5"/>
      <c r="I181" s="5"/>
    </row>
    <row r="182" spans="2:9" x14ac:dyDescent="0.25">
      <c r="H182" s="5"/>
      <c r="I182" s="5"/>
    </row>
    <row r="183" spans="2:9" x14ac:dyDescent="0.25">
      <c r="H183" s="5"/>
      <c r="I183" s="5"/>
    </row>
    <row r="184" spans="2:9" x14ac:dyDescent="0.25">
      <c r="H184" s="5"/>
      <c r="I184" s="5"/>
    </row>
    <row r="185" spans="2:9" x14ac:dyDescent="0.25">
      <c r="H185" s="5"/>
      <c r="I185" s="5"/>
    </row>
    <row r="186" spans="2:9" x14ac:dyDescent="0.25">
      <c r="B186" s="5"/>
      <c r="C186" s="5"/>
      <c r="H186" s="5"/>
      <c r="I186" s="5"/>
    </row>
    <row r="187" spans="2:9" x14ac:dyDescent="0.25">
      <c r="B187" s="5"/>
      <c r="C187" s="5"/>
      <c r="H187" s="5"/>
      <c r="I18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ROUABAH Hadj Habib</dc:creator>
  <cp:lastModifiedBy>ROUABAH Hadj Habib</cp:lastModifiedBy>
  <dcterms:created xsi:type="dcterms:W3CDTF">2015-06-05T18:19:34Z</dcterms:created>
  <dcterms:modified xsi:type="dcterms:W3CDTF">2025-04-10T10:06:30Z</dcterms:modified>
</cp:coreProperties>
</file>